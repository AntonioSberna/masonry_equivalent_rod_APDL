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i\Dropbox\Homework\PROJECT Calcolo Automatico\"/>
    </mc:Choice>
  </mc:AlternateContent>
  <xr:revisionPtr revIDLastSave="0" documentId="13_ncr:1_{7526A40B-18A7-487F-BEC3-2079BF796F1B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Input" sheetId="1" r:id="rId1"/>
    <sheet name="Puntoni" sheetId="2" r:id="rId2"/>
    <sheet name="Output" sheetId="3" r:id="rId3"/>
  </sheets>
  <externalReferences>
    <externalReference r:id="rId4"/>
  </externalReferences>
  <definedNames>
    <definedName name="A_11x">Input!$L$3</definedName>
    <definedName name="A_11y">Input!$L$14</definedName>
    <definedName name="A_12x">Input!$N$3</definedName>
    <definedName name="A_12y">Input!$N$14</definedName>
    <definedName name="A_13x">Input!$P$3</definedName>
    <definedName name="A_13y">Input!$P$14</definedName>
    <definedName name="A_14x">Input!$R$3</definedName>
    <definedName name="A_14y">Input!$R$14</definedName>
    <definedName name="A_15x">Input!$T$3</definedName>
    <definedName name="A_15y">Input!$T$14</definedName>
    <definedName name="A_16x">Input!$U$3</definedName>
    <definedName name="A_16y">Input!#REF!</definedName>
    <definedName name="A_21x">Input!$L$5</definedName>
    <definedName name="A_21y">Input!$L$14</definedName>
    <definedName name="A_22x">Input!$N$5</definedName>
    <definedName name="A_22y">Input!$N$14</definedName>
    <definedName name="A_23x">Input!$P$5</definedName>
    <definedName name="A_23y">Input!$P$14</definedName>
    <definedName name="A_24x">Input!$R$5</definedName>
    <definedName name="A_24y">Input!$R$14</definedName>
    <definedName name="A_25x">Input!$T$5</definedName>
    <definedName name="A_25y">Input!$T$14</definedName>
    <definedName name="A_26x">Input!$U$5</definedName>
    <definedName name="A_26y">Input!$U$14</definedName>
    <definedName name="A_31x">Input!$L$7</definedName>
    <definedName name="A_31y">Input!$L$16</definedName>
    <definedName name="A_32x">Input!$N$7</definedName>
    <definedName name="A_32y">Input!$N$16</definedName>
    <definedName name="A_33x">Input!$P$7</definedName>
    <definedName name="A_33y">Input!$P$16</definedName>
    <definedName name="A_34x">Input!$R$7</definedName>
    <definedName name="A_34y">Input!$R$16</definedName>
    <definedName name="A_35x">Input!$T$7</definedName>
    <definedName name="A_35y">Input!$T$16</definedName>
    <definedName name="A_36x">Input!$U$7</definedName>
    <definedName name="A_36y">Input!$U$16</definedName>
    <definedName name="A_41x">Input!$L$9</definedName>
    <definedName name="A_41y">Input!#REF!</definedName>
    <definedName name="A_42x">Input!$N$9</definedName>
    <definedName name="A_42y">Input!#REF!</definedName>
    <definedName name="A_43x">Input!$P$9</definedName>
    <definedName name="A_43y">Input!#REF!</definedName>
    <definedName name="A_44x">Input!$R$9</definedName>
    <definedName name="A_44y">Input!#REF!</definedName>
    <definedName name="A_45x">Input!$T$9</definedName>
    <definedName name="A_45y">Input!#REF!</definedName>
    <definedName name="A_46x">Input!$U$9</definedName>
    <definedName name="A_46y">Input!#REF!</definedName>
    <definedName name="alpha">Input!$C$5</definedName>
    <definedName name="beta">Input!$C$6</definedName>
    <definedName name="E_c">Input!$G$9</definedName>
    <definedName name="E_m">Input!$G$4</definedName>
    <definedName name="f_b">Input!$C$2</definedName>
    <definedName name="f_k">Input!$C$10</definedName>
    <definedName name="f_m">Input!$C$3</definedName>
    <definedName name="interpiano">Input!$D$12</definedName>
    <definedName name="K">Input!$C$8</definedName>
    <definedName name="K_e">Input!$G$2</definedName>
    <definedName name="L_1x">Input!$M$20</definedName>
    <definedName name="L_1y">Input!$K$21</definedName>
    <definedName name="L_2x">Input!$O$20</definedName>
    <definedName name="L_2y">Input!$K$23</definedName>
    <definedName name="L_3x">Input!$Q$20</definedName>
    <definedName name="L_3y">Input!$K$25</definedName>
    <definedName name="L_4x">Input!$S$20</definedName>
    <definedName name="L_5x">Input!$U$20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3" i="3" l="1"/>
  <c r="AG5" i="3" l="1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4" i="3"/>
  <c r="AA5" i="3"/>
  <c r="U33" i="2" l="1"/>
  <c r="G55" i="2"/>
  <c r="L5" i="1"/>
  <c r="AA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4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R5" i="3"/>
  <c r="AR6" i="3"/>
  <c r="AR7" i="3"/>
  <c r="AR8" i="3"/>
  <c r="AR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4" i="3"/>
  <c r="K5" i="3" l="1"/>
  <c r="BB14" i="3"/>
  <c r="K69" i="3" s="1"/>
  <c r="BB15" i="3"/>
  <c r="K75" i="3" s="1"/>
  <c r="BB16" i="3"/>
  <c r="K81" i="3" s="1"/>
  <c r="BB17" i="3"/>
  <c r="K87" i="3" s="1"/>
  <c r="BB18" i="3"/>
  <c r="K93" i="3" s="1"/>
  <c r="BB19" i="3"/>
  <c r="K99" i="3" s="1"/>
  <c r="BB20" i="3"/>
  <c r="K105" i="3" s="1"/>
  <c r="BB21" i="3"/>
  <c r="K111" i="3" s="1"/>
  <c r="BB22" i="3"/>
  <c r="K117" i="3" s="1"/>
  <c r="BB23" i="3"/>
  <c r="K123" i="3" s="1"/>
  <c r="CG20" i="2"/>
  <c r="CG21" i="2"/>
  <c r="CG22" i="2"/>
  <c r="CG23" i="2"/>
  <c r="CG19" i="2"/>
  <c r="CF19" i="2"/>
  <c r="CF20" i="2"/>
  <c r="CF21" i="2"/>
  <c r="CF22" i="2"/>
  <c r="CF23" i="2"/>
  <c r="CF24" i="2"/>
  <c r="CG24" i="2"/>
  <c r="CF25" i="2"/>
  <c r="CG25" i="2"/>
  <c r="CF26" i="2"/>
  <c r="CG26" i="2"/>
  <c r="CF27" i="2"/>
  <c r="CG27" i="2"/>
  <c r="CF28" i="2"/>
  <c r="CG28" i="2"/>
  <c r="BB5" i="3"/>
  <c r="K15" i="3" s="1"/>
  <c r="BB6" i="3"/>
  <c r="K21" i="3" s="1"/>
  <c r="BB7" i="3"/>
  <c r="K27" i="3" s="1"/>
  <c r="BB8" i="3"/>
  <c r="K33" i="3" s="1"/>
  <c r="BB9" i="3"/>
  <c r="K39" i="3" s="1"/>
  <c r="BB10" i="3"/>
  <c r="K45" i="3" s="1"/>
  <c r="BB11" i="3"/>
  <c r="K51" i="3" s="1"/>
  <c r="BB12" i="3"/>
  <c r="K57" i="3" s="1"/>
  <c r="BB13" i="3"/>
  <c r="K63" i="3" s="1"/>
  <c r="BB4" i="3"/>
  <c r="K9" i="3" s="1"/>
  <c r="AW5" i="3"/>
  <c r="K13" i="3" s="1"/>
  <c r="AW6" i="3"/>
  <c r="K19" i="3" s="1"/>
  <c r="AW7" i="3"/>
  <c r="K25" i="3" s="1"/>
  <c r="AW8" i="3"/>
  <c r="K31" i="3" s="1"/>
  <c r="AW9" i="3"/>
  <c r="K37" i="3" s="1"/>
  <c r="AW10" i="3"/>
  <c r="K43" i="3" s="1"/>
  <c r="AW11" i="3"/>
  <c r="K49" i="3" s="1"/>
  <c r="AW12" i="3"/>
  <c r="K55" i="3" s="1"/>
  <c r="AW13" i="3"/>
  <c r="K61" i="3" s="1"/>
  <c r="AW14" i="3"/>
  <c r="K67" i="3" s="1"/>
  <c r="AW15" i="3"/>
  <c r="K73" i="3" s="1"/>
  <c r="AW16" i="3"/>
  <c r="K79" i="3" s="1"/>
  <c r="AW17" i="3"/>
  <c r="K85" i="3" s="1"/>
  <c r="AW18" i="3"/>
  <c r="K91" i="3" s="1"/>
  <c r="AW19" i="3"/>
  <c r="K97" i="3" s="1"/>
  <c r="AW20" i="3"/>
  <c r="K103" i="3" s="1"/>
  <c r="AW21" i="3"/>
  <c r="K109" i="3" s="1"/>
  <c r="AW22" i="3"/>
  <c r="K115" i="3" s="1"/>
  <c r="AW23" i="3"/>
  <c r="K121" i="3" s="1"/>
  <c r="AW4" i="3"/>
  <c r="K7" i="3" s="1"/>
  <c r="AU4" i="3"/>
  <c r="K6" i="3" s="1"/>
  <c r="BZ28" i="2"/>
  <c r="BZ27" i="2"/>
  <c r="BZ26" i="2"/>
  <c r="BZ25" i="2"/>
  <c r="BZ24" i="2"/>
  <c r="BZ23" i="2"/>
  <c r="BZ22" i="2"/>
  <c r="BZ21" i="2"/>
  <c r="BZ20" i="2"/>
  <c r="BZ19" i="2"/>
  <c r="BZ18" i="2"/>
  <c r="BZ17" i="2"/>
  <c r="BZ16" i="2"/>
  <c r="BZ15" i="2"/>
  <c r="BZ14" i="2"/>
  <c r="BY21" i="2"/>
  <c r="BY28" i="2"/>
  <c r="BY27" i="2"/>
  <c r="BY26" i="2"/>
  <c r="BY25" i="2"/>
  <c r="BY24" i="2"/>
  <c r="BY23" i="2"/>
  <c r="BY22" i="2"/>
  <c r="BY20" i="2"/>
  <c r="BY19" i="2"/>
  <c r="BY18" i="2"/>
  <c r="BY17" i="2"/>
  <c r="BY16" i="2"/>
  <c r="BY15" i="2"/>
  <c r="BY14" i="2"/>
  <c r="BY9" i="2"/>
  <c r="BZ9" i="2"/>
  <c r="BY10" i="2"/>
  <c r="BZ10" i="2"/>
  <c r="BY11" i="2"/>
  <c r="BZ11" i="2"/>
  <c r="BY12" i="2"/>
  <c r="BZ12" i="2"/>
  <c r="BY13" i="2"/>
  <c r="BZ13" i="2"/>
  <c r="CF16" i="2" l="1"/>
  <c r="CF11" i="2"/>
  <c r="CF10" i="2"/>
  <c r="CF15" i="2"/>
  <c r="CF17" i="2"/>
  <c r="CF18" i="2"/>
  <c r="CG15" i="2"/>
  <c r="CG16" i="2"/>
  <c r="CG17" i="2"/>
  <c r="CG18" i="2"/>
  <c r="CG14" i="2"/>
  <c r="CF14" i="2"/>
  <c r="CF12" i="2"/>
  <c r="CF13" i="2"/>
  <c r="CG10" i="2"/>
  <c r="CG11" i="2"/>
  <c r="CG12" i="2"/>
  <c r="CG13" i="2"/>
  <c r="CG9" i="2"/>
  <c r="CF9" i="2"/>
  <c r="CC25" i="2"/>
  <c r="CC26" i="2"/>
  <c r="CC27" i="2"/>
  <c r="CC28" i="2"/>
  <c r="CD25" i="2"/>
  <c r="CD26" i="2"/>
  <c r="CD27" i="2"/>
  <c r="CD28" i="2"/>
  <c r="CC24" i="2"/>
  <c r="CC20" i="2"/>
  <c r="AZ15" i="3" s="1"/>
  <c r="K74" i="3" s="1"/>
  <c r="CC21" i="2"/>
  <c r="CC22" i="2"/>
  <c r="CC23" i="2"/>
  <c r="CC19" i="2"/>
  <c r="CD24" i="2"/>
  <c r="CD20" i="2"/>
  <c r="CD21" i="2"/>
  <c r="CD22" i="2"/>
  <c r="CD23" i="2"/>
  <c r="CD19" i="2"/>
  <c r="CC16" i="2"/>
  <c r="CC15" i="2"/>
  <c r="CC17" i="2"/>
  <c r="CC18" i="2"/>
  <c r="CD15" i="2"/>
  <c r="CD16" i="2"/>
  <c r="CD17" i="2"/>
  <c r="CD18" i="2"/>
  <c r="CD14" i="2"/>
  <c r="CC14" i="2"/>
  <c r="CC10" i="2"/>
  <c r="CC11" i="2"/>
  <c r="CC12" i="2"/>
  <c r="CC13" i="2"/>
  <c r="CD10" i="2"/>
  <c r="CD11" i="2"/>
  <c r="CD12" i="2"/>
  <c r="CD13" i="2"/>
  <c r="CD9" i="2"/>
  <c r="CC9" i="2"/>
  <c r="BW10" i="2"/>
  <c r="BW25" i="2"/>
  <c r="BW22" i="2"/>
  <c r="BW21" i="2"/>
  <c r="BW28" i="2"/>
  <c r="BW27" i="2"/>
  <c r="BW26" i="2"/>
  <c r="BW23" i="2"/>
  <c r="BW20" i="2"/>
  <c r="BW9" i="2"/>
  <c r="BV9" i="2"/>
  <c r="BV25" i="2"/>
  <c r="BV26" i="2"/>
  <c r="BV27" i="2"/>
  <c r="AU22" i="3" s="1"/>
  <c r="K114" i="3" s="1"/>
  <c r="BV28" i="2"/>
  <c r="BW24" i="2"/>
  <c r="BV24" i="2"/>
  <c r="AU19" i="3" s="1"/>
  <c r="K96" i="3" s="1"/>
  <c r="BV20" i="2"/>
  <c r="BV21" i="2"/>
  <c r="BV22" i="2"/>
  <c r="BV23" i="2"/>
  <c r="BW19" i="2"/>
  <c r="BV19" i="2"/>
  <c r="BV15" i="2"/>
  <c r="AU10" i="3" s="1"/>
  <c r="K42" i="3" s="1"/>
  <c r="BV16" i="2"/>
  <c r="BV17" i="2"/>
  <c r="AU12" i="3" s="1"/>
  <c r="K54" i="3" s="1"/>
  <c r="BV18" i="2"/>
  <c r="BW15" i="2"/>
  <c r="BW16" i="2"/>
  <c r="BW17" i="2"/>
  <c r="BW18" i="2"/>
  <c r="BW14" i="2"/>
  <c r="BV14" i="2"/>
  <c r="AU9" i="3" s="1"/>
  <c r="K36" i="3" s="1"/>
  <c r="BV10" i="2"/>
  <c r="AU5" i="3" s="1"/>
  <c r="K12" i="3" s="1"/>
  <c r="BV11" i="2"/>
  <c r="BV12" i="2"/>
  <c r="BV13" i="2"/>
  <c r="BW11" i="2"/>
  <c r="BW12" i="2"/>
  <c r="BW13" i="2"/>
  <c r="AU6" i="3" l="1"/>
  <c r="K18" i="3" s="1"/>
  <c r="AU14" i="3"/>
  <c r="K66" i="3" s="1"/>
  <c r="AU17" i="3"/>
  <c r="K84" i="3" s="1"/>
  <c r="AZ19" i="3"/>
  <c r="K98" i="3" s="1"/>
  <c r="AZ4" i="3"/>
  <c r="K8" i="3" s="1"/>
  <c r="AZ17" i="3"/>
  <c r="K86" i="3" s="1"/>
  <c r="AU16" i="3"/>
  <c r="K78" i="3" s="1"/>
  <c r="AZ18" i="3"/>
  <c r="K92" i="3" s="1"/>
  <c r="AZ7" i="3"/>
  <c r="K26" i="3" s="1"/>
  <c r="AZ20" i="3"/>
  <c r="K104" i="3" s="1"/>
  <c r="AZ13" i="3"/>
  <c r="K62" i="3" s="1"/>
  <c r="AZ6" i="3"/>
  <c r="K20" i="3" s="1"/>
  <c r="AU13" i="3"/>
  <c r="K60" i="3" s="1"/>
  <c r="AU23" i="3"/>
  <c r="K120" i="3" s="1"/>
  <c r="AZ5" i="3"/>
  <c r="K14" i="3" s="1"/>
  <c r="AU11" i="3"/>
  <c r="K48" i="3" s="1"/>
  <c r="AZ9" i="3"/>
  <c r="K38" i="3" s="1"/>
  <c r="AZ14" i="3"/>
  <c r="K68" i="3" s="1"/>
  <c r="AU15" i="3"/>
  <c r="K72" i="3" s="1"/>
  <c r="AZ8" i="3"/>
  <c r="K32" i="3" s="1"/>
  <c r="AZ21" i="3"/>
  <c r="K110" i="3" s="1"/>
  <c r="AZ12" i="3"/>
  <c r="K56" i="3" s="1"/>
  <c r="AZ10" i="3"/>
  <c r="K44" i="3" s="1"/>
  <c r="AU8" i="3"/>
  <c r="K30" i="3" s="1"/>
  <c r="AU18" i="3"/>
  <c r="K90" i="3" s="1"/>
  <c r="AU21" i="3"/>
  <c r="K108" i="3" s="1"/>
  <c r="AZ11" i="3"/>
  <c r="K50" i="3" s="1"/>
  <c r="AU7" i="3"/>
  <c r="K24" i="3" s="1"/>
  <c r="AU20" i="3"/>
  <c r="K102" i="3" s="1"/>
  <c r="AZ23" i="3"/>
  <c r="K122" i="3" s="1"/>
  <c r="AZ16" i="3"/>
  <c r="K80" i="3" s="1"/>
  <c r="AZ22" i="3"/>
  <c r="K116" i="3" s="1"/>
  <c r="AI5" i="3"/>
  <c r="AI6" i="3"/>
  <c r="AI7" i="3"/>
  <c r="AI8" i="3"/>
  <c r="AK9" i="3"/>
  <c r="AK10" i="3"/>
  <c r="AK11" i="3"/>
  <c r="AK12" i="3"/>
  <c r="AI13" i="3"/>
  <c r="AI14" i="3"/>
  <c r="AI15" i="3"/>
  <c r="AI16" i="3"/>
  <c r="AK17" i="3"/>
  <c r="AK18" i="3"/>
  <c r="AK19" i="3"/>
  <c r="AK20" i="3"/>
  <c r="AI21" i="3"/>
  <c r="AI22" i="3"/>
  <c r="AI23" i="3"/>
  <c r="AI4" i="3"/>
  <c r="AK23" i="3" l="1"/>
  <c r="D63" i="3" s="1"/>
  <c r="AD7" i="3"/>
  <c r="AK15" i="3"/>
  <c r="AK7" i="3"/>
  <c r="AD23" i="3"/>
  <c r="AD15" i="3"/>
  <c r="AD4" i="3"/>
  <c r="AD16" i="3"/>
  <c r="AD8" i="3"/>
  <c r="AI20" i="3"/>
  <c r="AI12" i="3"/>
  <c r="AK4" i="3"/>
  <c r="D6" i="3" s="1"/>
  <c r="AK16" i="3"/>
  <c r="AK8" i="3"/>
  <c r="AI19" i="3"/>
  <c r="AI11" i="3"/>
  <c r="AD22" i="3"/>
  <c r="AD14" i="3"/>
  <c r="AD6" i="3"/>
  <c r="AI18" i="3"/>
  <c r="D47" i="3" s="1"/>
  <c r="AI10" i="3"/>
  <c r="D23" i="3" s="1"/>
  <c r="AK22" i="3"/>
  <c r="AK14" i="3"/>
  <c r="AK6" i="3"/>
  <c r="AD21" i="3"/>
  <c r="AD13" i="3"/>
  <c r="AD5" i="3"/>
  <c r="AI17" i="3"/>
  <c r="AI9" i="3"/>
  <c r="AK21" i="3"/>
  <c r="D57" i="3" s="1"/>
  <c r="AK13" i="3"/>
  <c r="D33" i="3" s="1"/>
  <c r="AK5" i="3"/>
  <c r="D9" i="3" s="1"/>
  <c r="AD20" i="3"/>
  <c r="AD12" i="3"/>
  <c r="AD19" i="3"/>
  <c r="AD11" i="3"/>
  <c r="AD18" i="3"/>
  <c r="AD10" i="3"/>
  <c r="AD17" i="3"/>
  <c r="AD9" i="3"/>
  <c r="G47" i="3"/>
  <c r="G44" i="3"/>
  <c r="G23" i="3"/>
  <c r="G20" i="3"/>
  <c r="G8" i="3"/>
  <c r="G11" i="3"/>
  <c r="G14" i="3"/>
  <c r="G17" i="3"/>
  <c r="G26" i="3"/>
  <c r="G29" i="3"/>
  <c r="G32" i="3"/>
  <c r="G35" i="3"/>
  <c r="G38" i="3"/>
  <c r="G41" i="3"/>
  <c r="G50" i="3"/>
  <c r="G53" i="3"/>
  <c r="G56" i="3"/>
  <c r="G59" i="3"/>
  <c r="G62" i="3"/>
  <c r="G5" i="3"/>
  <c r="D11" i="3"/>
  <c r="D14" i="3"/>
  <c r="D25" i="3"/>
  <c r="D30" i="3"/>
  <c r="D35" i="3"/>
  <c r="D38" i="3"/>
  <c r="D49" i="3"/>
  <c r="D54" i="3"/>
  <c r="D58" i="3"/>
  <c r="D31" i="3" l="1"/>
  <c r="D32" i="3"/>
  <c r="D46" i="3"/>
  <c r="D62" i="3"/>
  <c r="D22" i="3"/>
  <c r="D51" i="3"/>
  <c r="D7" i="3"/>
  <c r="D8" i="3"/>
  <c r="D48" i="3"/>
  <c r="D27" i="3"/>
  <c r="D24" i="3"/>
  <c r="D5" i="3"/>
  <c r="D55" i="3"/>
  <c r="D19" i="3"/>
  <c r="D20" i="3"/>
  <c r="D21" i="3"/>
  <c r="D43" i="3"/>
  <c r="D44" i="3"/>
  <c r="D45" i="3"/>
  <c r="D16" i="3"/>
  <c r="D17" i="3"/>
  <c r="D18" i="3"/>
  <c r="D40" i="3"/>
  <c r="D41" i="3"/>
  <c r="D42" i="3"/>
  <c r="D50" i="3"/>
  <c r="D26" i="3"/>
  <c r="D59" i="3"/>
  <c r="D61" i="3"/>
  <c r="D37" i="3"/>
  <c r="D13" i="3"/>
  <c r="D56" i="3"/>
  <c r="D52" i="3"/>
  <c r="D28" i="3"/>
  <c r="D4" i="3"/>
  <c r="D53" i="3"/>
  <c r="D39" i="3"/>
  <c r="D15" i="3"/>
  <c r="D29" i="3"/>
  <c r="D60" i="3"/>
  <c r="D36" i="3"/>
  <c r="D12" i="3"/>
  <c r="D34" i="3"/>
  <c r="D10" i="3"/>
  <c r="G9" i="3"/>
  <c r="G12" i="3"/>
  <c r="G15" i="3"/>
  <c r="G18" i="3"/>
  <c r="G21" i="3"/>
  <c r="G24" i="3"/>
  <c r="G27" i="3"/>
  <c r="G30" i="3"/>
  <c r="G33" i="3"/>
  <c r="G36" i="3"/>
  <c r="G39" i="3"/>
  <c r="G42" i="3"/>
  <c r="G45" i="3"/>
  <c r="G48" i="3"/>
  <c r="G51" i="3"/>
  <c r="G54" i="3"/>
  <c r="G57" i="3"/>
  <c r="G60" i="3"/>
  <c r="G63" i="3"/>
  <c r="G6" i="3"/>
  <c r="G7" i="3"/>
  <c r="G10" i="3"/>
  <c r="G13" i="3"/>
  <c r="G16" i="3"/>
  <c r="G19" i="3"/>
  <c r="G22" i="3"/>
  <c r="G25" i="3"/>
  <c r="G28" i="3"/>
  <c r="G31" i="3"/>
  <c r="G34" i="3"/>
  <c r="G37" i="3"/>
  <c r="G40" i="3"/>
  <c r="G43" i="3"/>
  <c r="G46" i="3"/>
  <c r="G49" i="3"/>
  <c r="G52" i="3"/>
  <c r="G55" i="3"/>
  <c r="G58" i="3"/>
  <c r="G61" i="3"/>
  <c r="G4" i="3"/>
  <c r="L45" i="1"/>
  <c r="N45" i="1"/>
  <c r="P45" i="1"/>
  <c r="R45" i="1"/>
  <c r="T45" i="1"/>
  <c r="T43" i="1"/>
  <c r="R43" i="1"/>
  <c r="P43" i="1"/>
  <c r="N43" i="1"/>
  <c r="L43" i="1"/>
  <c r="L35" i="1"/>
  <c r="N35" i="1"/>
  <c r="P35" i="1"/>
  <c r="R35" i="1"/>
  <c r="T35" i="1"/>
  <c r="T33" i="1"/>
  <c r="R33" i="1"/>
  <c r="P33" i="1"/>
  <c r="N33" i="1"/>
  <c r="BH19" i="2"/>
  <c r="K65" i="3" s="1"/>
  <c r="AW24" i="2"/>
  <c r="BH24" i="2" s="1"/>
  <c r="K95" i="3" s="1"/>
  <c r="AY22" i="2"/>
  <c r="BA22" i="2" s="1"/>
  <c r="AW13" i="2"/>
  <c r="AW15" i="2" s="1"/>
  <c r="G76" i="2"/>
  <c r="I76" i="2"/>
  <c r="K76" i="2"/>
  <c r="M76" i="2"/>
  <c r="O76" i="2"/>
  <c r="I74" i="2"/>
  <c r="K74" i="2"/>
  <c r="M74" i="2"/>
  <c r="O74" i="2"/>
  <c r="G74" i="2"/>
  <c r="G85" i="2"/>
  <c r="I85" i="2"/>
  <c r="K85" i="2"/>
  <c r="M85" i="2"/>
  <c r="O85" i="2"/>
  <c r="I83" i="2"/>
  <c r="K83" i="2"/>
  <c r="M83" i="2"/>
  <c r="O83" i="2"/>
  <c r="G83" i="2"/>
  <c r="U42" i="2"/>
  <c r="AA42" i="2" s="1"/>
  <c r="AA35" i="2"/>
  <c r="O66" i="2"/>
  <c r="O64" i="2"/>
  <c r="M66" i="2"/>
  <c r="M64" i="2"/>
  <c r="K66" i="2"/>
  <c r="K64" i="2"/>
  <c r="I66" i="2"/>
  <c r="I64" i="2"/>
  <c r="G66" i="2"/>
  <c r="G64" i="2"/>
  <c r="O55" i="2"/>
  <c r="I55" i="2"/>
  <c r="I57" i="2"/>
  <c r="K55" i="2"/>
  <c r="K57" i="2"/>
  <c r="M55" i="2"/>
  <c r="M57" i="2"/>
  <c r="O57" i="2"/>
  <c r="G57" i="2"/>
  <c r="O44" i="2"/>
  <c r="O42" i="2"/>
  <c r="M44" i="2"/>
  <c r="M42" i="2"/>
  <c r="K44" i="2"/>
  <c r="K42" i="2"/>
  <c r="I44" i="2"/>
  <c r="I42" i="2"/>
  <c r="G44" i="2"/>
  <c r="G42" i="2"/>
  <c r="I33" i="2"/>
  <c r="I35" i="2"/>
  <c r="K33" i="2"/>
  <c r="K35" i="2"/>
  <c r="M33" i="2"/>
  <c r="M35" i="2"/>
  <c r="O33" i="2"/>
  <c r="O35" i="2"/>
  <c r="G35" i="2"/>
  <c r="G33" i="2"/>
  <c r="AC24" i="2"/>
  <c r="AA24" i="2"/>
  <c r="Y24" i="2"/>
  <c r="W24" i="2"/>
  <c r="U24" i="2"/>
  <c r="AC22" i="2"/>
  <c r="AA22" i="2"/>
  <c r="Y22" i="2"/>
  <c r="W22" i="2"/>
  <c r="U22" i="2"/>
  <c r="G22" i="2"/>
  <c r="G24" i="2"/>
  <c r="I22" i="2"/>
  <c r="I24" i="2"/>
  <c r="K22" i="2"/>
  <c r="K24" i="2"/>
  <c r="M22" i="2"/>
  <c r="M24" i="2"/>
  <c r="O22" i="2"/>
  <c r="O24" i="2"/>
  <c r="G13" i="2"/>
  <c r="G15" i="2"/>
  <c r="I13" i="2"/>
  <c r="I15" i="2"/>
  <c r="K13" i="2"/>
  <c r="K15" i="2"/>
  <c r="M13" i="2"/>
  <c r="M15" i="2"/>
  <c r="O13" i="2"/>
  <c r="O15" i="2"/>
  <c r="Y24" i="1"/>
  <c r="Y25" i="1"/>
  <c r="AA14" i="1"/>
  <c r="AA23" i="1" s="1"/>
  <c r="AB17" i="1"/>
  <c r="AB26" i="1" s="1"/>
  <c r="Z5" i="1"/>
  <c r="Z14" i="1" s="1"/>
  <c r="Z23" i="1" s="1"/>
  <c r="AA5" i="1"/>
  <c r="AB5" i="1"/>
  <c r="AB14" i="1" s="1"/>
  <c r="AB23" i="1" s="1"/>
  <c r="AC5" i="1"/>
  <c r="AC14" i="1" s="1"/>
  <c r="AC23" i="1" s="1"/>
  <c r="AD5" i="1"/>
  <c r="AD14" i="1" s="1"/>
  <c r="AD23" i="1" s="1"/>
  <c r="Z6" i="1"/>
  <c r="Z15" i="1" s="1"/>
  <c r="Z24" i="1" s="1"/>
  <c r="AA6" i="1"/>
  <c r="AA15" i="1" s="1"/>
  <c r="AA24" i="1" s="1"/>
  <c r="AB6" i="1"/>
  <c r="AB15" i="1" s="1"/>
  <c r="AB24" i="1" s="1"/>
  <c r="AC6" i="1"/>
  <c r="AC15" i="1" s="1"/>
  <c r="AC24" i="1" s="1"/>
  <c r="AD6" i="1"/>
  <c r="AD15" i="1" s="1"/>
  <c r="AD24" i="1" s="1"/>
  <c r="Z7" i="1"/>
  <c r="Z16" i="1" s="1"/>
  <c r="Z25" i="1" s="1"/>
  <c r="AA7" i="1"/>
  <c r="AA16" i="1" s="1"/>
  <c r="AA25" i="1" s="1"/>
  <c r="AB7" i="1"/>
  <c r="AB16" i="1" s="1"/>
  <c r="AB25" i="1" s="1"/>
  <c r="AC7" i="1"/>
  <c r="AC16" i="1" s="1"/>
  <c r="AC25" i="1" s="1"/>
  <c r="AD7" i="1"/>
  <c r="AD16" i="1" s="1"/>
  <c r="AD25" i="1" s="1"/>
  <c r="Z8" i="1"/>
  <c r="Z17" i="1" s="1"/>
  <c r="Z26" i="1" s="1"/>
  <c r="AA8" i="1"/>
  <c r="AA17" i="1" s="1"/>
  <c r="AA26" i="1" s="1"/>
  <c r="AB8" i="1"/>
  <c r="AC8" i="1"/>
  <c r="AC17" i="1" s="1"/>
  <c r="AC26" i="1" s="1"/>
  <c r="AD8" i="1"/>
  <c r="AD17" i="1" s="1"/>
  <c r="AD26" i="1" s="1"/>
  <c r="Y6" i="1"/>
  <c r="Y7" i="1"/>
  <c r="Y8" i="1"/>
  <c r="Y17" i="1" s="1"/>
  <c r="Y26" i="1" s="1"/>
  <c r="Y5" i="1"/>
  <c r="Y14" i="1" s="1"/>
  <c r="Y23" i="1" s="1"/>
  <c r="T7" i="1"/>
  <c r="R7" i="1"/>
  <c r="P7" i="1"/>
  <c r="N7" i="1"/>
  <c r="L7" i="1"/>
  <c r="T5" i="1"/>
  <c r="R5" i="1"/>
  <c r="P5" i="1"/>
  <c r="N5" i="1"/>
  <c r="W33" i="2" l="1"/>
  <c r="AA33" i="2"/>
  <c r="BH9" i="2"/>
  <c r="AC33" i="2"/>
  <c r="AY13" i="2"/>
  <c r="AY15" i="2"/>
  <c r="BH14" i="2"/>
  <c r="K35" i="3" s="1"/>
  <c r="BC22" i="2"/>
  <c r="BH21" i="2"/>
  <c r="K77" i="3" s="1"/>
  <c r="Y35" i="2"/>
  <c r="BH20" i="2"/>
  <c r="K71" i="3" s="1"/>
  <c r="W35" i="2"/>
  <c r="U35" i="2"/>
  <c r="AY24" i="2"/>
  <c r="Y33" i="2"/>
  <c r="W42" i="2"/>
  <c r="Y44" i="2"/>
  <c r="U44" i="2"/>
  <c r="Y42" i="2"/>
  <c r="AC35" i="2"/>
  <c r="AA44" i="2"/>
  <c r="AC44" i="2"/>
  <c r="AC42" i="2"/>
  <c r="W44" i="2"/>
  <c r="BA13" i="2" l="1"/>
  <c r="BH10" i="2"/>
  <c r="K11" i="3" s="1"/>
  <c r="BE22" i="2"/>
  <c r="BH23" i="2" s="1"/>
  <c r="K89" i="3" s="1"/>
  <c r="BH22" i="2"/>
  <c r="K83" i="3" s="1"/>
  <c r="BA24" i="2"/>
  <c r="BH25" i="2"/>
  <c r="K101" i="3" s="1"/>
  <c r="BH15" i="2"/>
  <c r="K41" i="3" s="1"/>
  <c r="BA15" i="2"/>
  <c r="C10" i="1"/>
  <c r="G4" i="1" l="1"/>
  <c r="W64" i="2" s="1"/>
  <c r="AK22" i="2" s="1"/>
  <c r="AK43" i="2" s="1"/>
  <c r="BC13" i="2"/>
  <c r="BH11" i="2"/>
  <c r="K17" i="3" s="1"/>
  <c r="BC15" i="2"/>
  <c r="BH16" i="2"/>
  <c r="K47" i="3" s="1"/>
  <c r="BC24" i="2"/>
  <c r="BH26" i="2"/>
  <c r="K107" i="3" s="1"/>
  <c r="AI57" i="2" l="1"/>
  <c r="AT57" i="2" s="1"/>
  <c r="AQ66" i="2"/>
  <c r="U57" i="2"/>
  <c r="AI15" i="2" s="1"/>
  <c r="AI36" i="2" s="1"/>
  <c r="AV35" i="2" s="1"/>
  <c r="AC66" i="2"/>
  <c r="AQ24" i="2" s="1"/>
  <c r="AQ45" i="2" s="1"/>
  <c r="Y64" i="2"/>
  <c r="AM22" i="2" s="1"/>
  <c r="AM43" i="2" s="1"/>
  <c r="AO66" i="2"/>
  <c r="BJ66" i="2" s="1"/>
  <c r="BQ70" i="2" s="1"/>
  <c r="W57" i="2"/>
  <c r="AK15" i="2" s="1"/>
  <c r="AK36" i="2" s="1"/>
  <c r="AV36" i="2" s="1"/>
  <c r="AA55" i="2"/>
  <c r="AO13" i="2" s="1"/>
  <c r="AO34" i="2" s="1"/>
  <c r="BJ34" i="2" s="1"/>
  <c r="BP33" i="2" s="1"/>
  <c r="AM66" i="2"/>
  <c r="BH66" i="2" s="1"/>
  <c r="BQ69" i="2" s="1"/>
  <c r="AO55" i="2"/>
  <c r="AC64" i="2"/>
  <c r="AQ22" i="2" s="1"/>
  <c r="AQ43" i="2" s="1"/>
  <c r="AV44" i="2" s="1"/>
  <c r="AC55" i="2"/>
  <c r="AQ13" i="2" s="1"/>
  <c r="AQ34" i="2" s="1"/>
  <c r="AV34" i="2" s="1"/>
  <c r="AM57" i="2"/>
  <c r="AT59" i="2" s="1"/>
  <c r="AI64" i="2"/>
  <c r="BD64" i="2" s="1"/>
  <c r="BQ62" i="2" s="1"/>
  <c r="AO57" i="2"/>
  <c r="AT60" i="2" s="1"/>
  <c r="Y57" i="2"/>
  <c r="AM15" i="2" s="1"/>
  <c r="AM36" i="2" s="1"/>
  <c r="BH36" i="2" s="1"/>
  <c r="BP37" i="2" s="1"/>
  <c r="AK66" i="2"/>
  <c r="BF66" i="2" s="1"/>
  <c r="BQ68" i="2" s="1"/>
  <c r="U55" i="2"/>
  <c r="AI13" i="2" s="1"/>
  <c r="AI34" i="2" s="1"/>
  <c r="BD34" i="2" s="1"/>
  <c r="BP30" i="2" s="1"/>
  <c r="AA64" i="2"/>
  <c r="AO22" i="2" s="1"/>
  <c r="AO43" i="2" s="1"/>
  <c r="BJ43" i="2" s="1"/>
  <c r="BP43" i="2" s="1"/>
  <c r="AK64" i="2"/>
  <c r="AT63" i="2" s="1"/>
  <c r="W55" i="2"/>
  <c r="AK13" i="2" s="1"/>
  <c r="AK34" i="2" s="1"/>
  <c r="BF34" i="2" s="1"/>
  <c r="BP31" i="2" s="1"/>
  <c r="AO64" i="2"/>
  <c r="AT65" i="2" s="1"/>
  <c r="U64" i="2"/>
  <c r="AI22" i="2" s="1"/>
  <c r="AI43" i="2" s="1"/>
  <c r="BD43" i="2" s="1"/>
  <c r="BP40" i="2" s="1"/>
  <c r="AM64" i="2"/>
  <c r="BH64" i="2" s="1"/>
  <c r="BQ64" i="2" s="1"/>
  <c r="U66" i="2"/>
  <c r="AI24" i="2" s="1"/>
  <c r="AI45" i="2" s="1"/>
  <c r="AV45" i="2" s="1"/>
  <c r="AI55" i="2"/>
  <c r="AT52" i="2" s="1"/>
  <c r="AI66" i="2"/>
  <c r="AT67" i="2" s="1"/>
  <c r="AC57" i="2"/>
  <c r="AQ15" i="2" s="1"/>
  <c r="AQ36" i="2" s="1"/>
  <c r="BL36" i="2" s="1"/>
  <c r="BP39" i="2" s="1"/>
  <c r="AQ64" i="2"/>
  <c r="AT66" i="2" s="1"/>
  <c r="AA66" i="2"/>
  <c r="AO24" i="2" s="1"/>
  <c r="AO45" i="2" s="1"/>
  <c r="BJ45" i="2" s="1"/>
  <c r="BP48" i="2" s="1"/>
  <c r="Y66" i="2"/>
  <c r="AM24" i="2" s="1"/>
  <c r="AM45" i="2" s="1"/>
  <c r="BH45" i="2" s="1"/>
  <c r="BP47" i="2" s="1"/>
  <c r="AQ57" i="2"/>
  <c r="AT61" i="2" s="1"/>
  <c r="AQ55" i="2"/>
  <c r="BL55" i="2" s="1"/>
  <c r="BQ56" i="2" s="1"/>
  <c r="AK55" i="2"/>
  <c r="BF55" i="2" s="1"/>
  <c r="BQ53" i="2" s="1"/>
  <c r="BF43" i="2"/>
  <c r="BP41" i="2" s="1"/>
  <c r="AV41" i="2"/>
  <c r="Y55" i="2"/>
  <c r="AM13" i="2" s="1"/>
  <c r="AM34" i="2" s="1"/>
  <c r="BH34" i="2" s="1"/>
  <c r="BP32" i="2" s="1"/>
  <c r="W66" i="2"/>
  <c r="AK24" i="2" s="1"/>
  <c r="AK45" i="2" s="1"/>
  <c r="BF45" i="2" s="1"/>
  <c r="BP46" i="2" s="1"/>
  <c r="AA57" i="2"/>
  <c r="AO15" i="2" s="1"/>
  <c r="AO36" i="2" s="1"/>
  <c r="BJ36" i="2" s="1"/>
  <c r="BP38" i="2" s="1"/>
  <c r="AK57" i="2"/>
  <c r="AT58" i="2" s="1"/>
  <c r="AM55" i="2"/>
  <c r="BH55" i="2" s="1"/>
  <c r="BQ54" i="2" s="1"/>
  <c r="BD55" i="2"/>
  <c r="BQ52" i="2" s="1"/>
  <c r="BD36" i="2"/>
  <c r="BP35" i="2" s="1"/>
  <c r="BL45" i="2"/>
  <c r="BP49" i="2" s="1"/>
  <c r="AV49" i="2"/>
  <c r="BH43" i="2"/>
  <c r="BP42" i="2" s="1"/>
  <c r="AV42" i="2"/>
  <c r="BL57" i="2"/>
  <c r="BQ61" i="2" s="1"/>
  <c r="AV31" i="2"/>
  <c r="BF64" i="2"/>
  <c r="BQ63" i="2" s="1"/>
  <c r="AV47" i="2"/>
  <c r="AV33" i="2"/>
  <c r="BD57" i="2"/>
  <c r="BQ57" i="2" s="1"/>
  <c r="AT53" i="2"/>
  <c r="BL66" i="2"/>
  <c r="BQ71" i="2" s="1"/>
  <c r="AT71" i="2"/>
  <c r="BD45" i="2"/>
  <c r="BP45" i="2" s="1"/>
  <c r="BJ55" i="2"/>
  <c r="BQ55" i="2" s="1"/>
  <c r="AT55" i="2"/>
  <c r="BL34" i="2"/>
  <c r="BP34" i="2" s="1"/>
  <c r="AV48" i="2"/>
  <c r="AV39" i="2"/>
  <c r="AV30" i="2"/>
  <c r="AT68" i="2"/>
  <c r="AT62" i="2"/>
  <c r="BE13" i="2"/>
  <c r="BH13" i="2" s="1"/>
  <c r="K29" i="3" s="1"/>
  <c r="BH12" i="2"/>
  <c r="K23" i="3" s="1"/>
  <c r="BE15" i="2"/>
  <c r="BH18" i="2" s="1"/>
  <c r="K59" i="3" s="1"/>
  <c r="BH17" i="2"/>
  <c r="K53" i="3" s="1"/>
  <c r="BE24" i="2"/>
  <c r="BH28" i="2" s="1"/>
  <c r="K119" i="3" s="1"/>
  <c r="BH27" i="2"/>
  <c r="K113" i="3" s="1"/>
  <c r="AN15" i="3" l="1"/>
  <c r="K70" i="3" s="1"/>
  <c r="BJ64" i="2"/>
  <c r="BQ65" i="2" s="1"/>
  <c r="BL43" i="2"/>
  <c r="BP44" i="2" s="1"/>
  <c r="BD66" i="2"/>
  <c r="BQ67" i="2" s="1"/>
  <c r="AV38" i="2"/>
  <c r="BH57" i="2"/>
  <c r="BQ59" i="2" s="1"/>
  <c r="AN11" i="3" s="1"/>
  <c r="K46" i="3" s="1"/>
  <c r="AT70" i="2"/>
  <c r="AV40" i="2"/>
  <c r="AV43" i="2"/>
  <c r="BJ57" i="2"/>
  <c r="BQ60" i="2" s="1"/>
  <c r="AN12" i="3" s="1"/>
  <c r="K52" i="3" s="1"/>
  <c r="AV46" i="2"/>
  <c r="BF36" i="2"/>
  <c r="BP36" i="2" s="1"/>
  <c r="AV37" i="2"/>
  <c r="AT56" i="2"/>
  <c r="AV32" i="2"/>
  <c r="AT54" i="2"/>
  <c r="AT64" i="2"/>
  <c r="BF57" i="2"/>
  <c r="BQ58" i="2" s="1"/>
  <c r="BL64" i="2"/>
  <c r="BQ66" i="2" s="1"/>
  <c r="AN18" i="3" s="1"/>
  <c r="K88" i="3" s="1"/>
  <c r="AT69" i="2"/>
  <c r="AN22" i="3"/>
  <c r="K112" i="3" s="1"/>
  <c r="AN20" i="3"/>
  <c r="K100" i="3" s="1"/>
  <c r="AN23" i="3"/>
  <c r="K118" i="3" s="1"/>
  <c r="AN19" i="3"/>
  <c r="K94" i="3" s="1"/>
  <c r="AN6" i="3"/>
  <c r="K16" i="3" s="1"/>
  <c r="AN16" i="3"/>
  <c r="K76" i="3" s="1"/>
  <c r="AN13" i="3"/>
  <c r="K58" i="3" s="1"/>
  <c r="AN21" i="3"/>
  <c r="K106" i="3" s="1"/>
  <c r="AN7" i="3"/>
  <c r="K22" i="3" s="1"/>
  <c r="AN17" i="3"/>
  <c r="K82" i="3" s="1"/>
  <c r="AN8" i="3"/>
  <c r="K28" i="3" s="1"/>
  <c r="AN14" i="3"/>
  <c r="K64" i="3" s="1"/>
  <c r="AN5" i="3"/>
  <c r="K10" i="3" s="1"/>
  <c r="AN4" i="3"/>
  <c r="K4" i="3" s="1"/>
  <c r="AN9" i="3"/>
  <c r="K34" i="3" s="1"/>
  <c r="AN10" i="3" l="1"/>
  <c r="K40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Sberna</author>
  </authors>
  <commentList>
    <comment ref="B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Resistenza a compressione elementi murari
</t>
        </r>
      </text>
    </comment>
    <comment ref="F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Coefficiente calcolo modulo elastico
Annesso nazionale 
</t>
        </r>
      </text>
    </comment>
    <comment ref="B3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Resistenza a compressione malta dei giunti
</t>
        </r>
      </text>
    </comment>
    <comment ref="C3" authorId="0" shapeId="0" xr:uid="{BA636C0F-78C4-462B-8B88-0AE9B72595AC}">
      <text>
        <r>
          <rPr>
            <b/>
            <sz val="9"/>
            <color indexed="81"/>
            <rFont val="Tahoma"/>
            <family val="2"/>
          </rPr>
          <t xml:space="preserve">Antonio Sberna:
</t>
        </r>
        <r>
          <rPr>
            <sz val="9"/>
            <color indexed="81"/>
            <rFont val="Tahoma"/>
            <family val="2"/>
          </rPr>
          <t xml:space="preserve">Malta da muratura Hp M10
</t>
        </r>
      </text>
    </comment>
    <comment ref="F4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Modulo elastico della muratura 
EC6 3.7.2.2
</t>
        </r>
      </text>
    </comment>
    <comment ref="B5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Accordo EC6 3.2
</t>
        </r>
      </text>
    </comment>
    <comment ref="B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Costante per calcolo della resistenza a compressione della muratura EC6 Prospetto 3.3</t>
        </r>
      </text>
    </comment>
    <comment ref="B1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Resistenza a compressione della muratura
EC6 3.1 (nello specifico 3.2)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 Sberna</author>
  </authors>
  <commentList>
    <comment ref="CA5" authorId="0" shapeId="0" xr:uid="{A94A9568-233D-4309-9934-1025DCD7C5CA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Nodi da collegare con le bielle equivalenti</t>
        </r>
      </text>
    </comment>
    <comment ref="BH8" authorId="0" shapeId="0" xr:uid="{1F1D0B60-69B8-44A8-A34A-14154CE1DB68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Nomi delle bielle in ordine</t>
        </r>
      </text>
    </comment>
    <comment ref="E9" authorId="0" shapeId="0" xr:uid="{5AEB5EED-2BF1-4B60-AB03-98CEC5E6C674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Fattore funzione dell'aperture nel pannello murario</t>
        </r>
      </text>
    </comment>
    <comment ref="S9" authorId="0" shapeId="0" xr:uid="{E775EA74-6F21-4A13-BD7D-976019D7B8A4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Fattore funzione del grado di fessurazione del pannello murario</t>
        </r>
      </text>
    </comment>
    <comment ref="AG9" authorId="0" shapeId="0" xr:uid="{8148D25D-B78A-4B7B-9234-64A405D83375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Altezza del puntone equivalente</t>
        </r>
      </text>
    </comment>
    <comment ref="AU9" authorId="0" shapeId="0" xr:uid="{EA73FF08-46FB-4BD8-A57B-81D1BBE03E5D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Nome del puntone</t>
        </r>
      </text>
    </comment>
    <comment ref="BP27" authorId="0" shapeId="0" xr:uid="{3253498B-556E-479C-989F-FF6A1E5AD01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Altezze delle bielle equivalenti in ordine
</t>
        </r>
      </text>
    </comment>
    <comment ref="AW28" authorId="0" shapeId="0" xr:uid="{D018E37F-3939-4F6C-8A23-CA8031EEA439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Sort and merge area for the dimention of the link</t>
        </r>
      </text>
    </comment>
    <comment ref="E29" authorId="0" shapeId="0" xr:uid="{9C4E28EA-6A0F-47F2-8C4A-59242CE5AF96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Inclinazione dalll'orizzontale del puntone equivalente</t>
        </r>
      </text>
    </comment>
    <comment ref="S29" authorId="0" shapeId="0" xr:uid="{B5FE3664-9736-40F0-80BB-E8BDBEC2969B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Inerzia delle colonne che racchiudono il pannello murario</t>
        </r>
      </text>
    </comment>
    <comment ref="AG30" authorId="0" shapeId="0" xr:uid="{A67AC863-7211-495D-A0A8-0A7AE9492CE3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Altezza ridotta del puntone equivalente
(tiene conto delle aperture nel pannello murario)</t>
        </r>
      </text>
    </comment>
    <comment ref="BB30" authorId="0" shapeId="0" xr:uid="{629A3D54-8CEA-4F8C-8B93-7D618068C5DD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Codice dell'area equivalente del puntone</t>
        </r>
      </text>
    </comment>
    <comment ref="BQ50" authorId="0" shapeId="0" xr:uid="{DE19947A-513C-4296-BE0F-7E1DC08054E9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Codice della rigidezza per le bielle in ordine</t>
        </r>
      </text>
    </comment>
    <comment ref="E51" authorId="0" shapeId="0" xr:uid="{7BACBC04-47C8-4D1C-83D7-4132AA04F88A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Lunghezza del puntone
</t>
        </r>
      </text>
    </comment>
    <comment ref="AG51" authorId="0" shapeId="0" xr:uid="{40EED0D4-64C0-4E53-A3F0-9C5EAC4633FD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Rigidezza del puntone equivalente
</t>
        </r>
      </text>
    </comment>
    <comment ref="AU51" authorId="0" shapeId="0" xr:uid="{C62FA93D-5EF6-47A9-81C3-407B00D72BAD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Sort and merge area for the elastic modulus
</t>
        </r>
      </text>
    </comment>
    <comment ref="BB51" authorId="0" shapeId="0" xr:uid="{51433CF4-7822-41FD-8D9F-6B4308B60662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Codice del materiale utilizzato
</t>
        </r>
      </text>
    </comment>
    <comment ref="E70" authorId="0" shapeId="0" xr:uid="{2A3B96FE-7953-418C-88C3-264F614CD500}">
      <text>
        <r>
          <rPr>
            <b/>
            <sz val="9"/>
            <color indexed="81"/>
            <rFont val="Tahoma"/>
            <family val="2"/>
          </rPr>
          <t>Antonio Sberna:</t>
        </r>
        <r>
          <rPr>
            <sz val="9"/>
            <color indexed="81"/>
            <rFont val="Tahoma"/>
            <family val="2"/>
          </rPr>
          <t xml:space="preserve">
Altezza del  pannello murario
</t>
        </r>
      </text>
    </comment>
  </commentList>
</comments>
</file>

<file path=xl/sharedStrings.xml><?xml version="1.0" encoding="utf-8"?>
<sst xmlns="http://schemas.openxmlformats.org/spreadsheetml/2006/main" count="294" uniqueCount="53">
  <si>
    <r>
      <t>f</t>
    </r>
    <r>
      <rPr>
        <vertAlign val="subscript"/>
        <sz val="11"/>
        <color theme="1"/>
        <rFont val="Calibri"/>
        <family val="2"/>
        <scheme val="minor"/>
      </rPr>
      <t>b</t>
    </r>
    <r>
      <rPr>
        <sz val="11"/>
        <color theme="1"/>
        <rFont val="Calibri"/>
        <family val="2"/>
        <scheme val="minor"/>
      </rPr>
      <t xml:space="preserve"> =</t>
    </r>
  </si>
  <si>
    <r>
      <t>f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=</t>
    </r>
  </si>
  <si>
    <t>α =</t>
  </si>
  <si>
    <t>β =</t>
  </si>
  <si>
    <t>[-]</t>
  </si>
  <si>
    <t>[MPa]</t>
  </si>
  <si>
    <t xml:space="preserve">K = </t>
  </si>
  <si>
    <r>
      <t>f</t>
    </r>
    <r>
      <rPr>
        <vertAlign val="subscript"/>
        <sz val="11"/>
        <color theme="1"/>
        <rFont val="Calibri"/>
        <family val="2"/>
        <scheme val="minor"/>
      </rPr>
      <t>k</t>
    </r>
    <r>
      <rPr>
        <sz val="11"/>
        <color theme="1"/>
        <rFont val="Calibri"/>
        <family val="2"/>
        <scheme val="minor"/>
      </rPr>
      <t xml:space="preserve"> =</t>
    </r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</si>
  <si>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</t>
    </r>
  </si>
  <si>
    <t>Altezza interpiano =</t>
  </si>
  <si>
    <t>Aperture</t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</si>
  <si>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</si>
  <si>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X</t>
  </si>
  <si>
    <t>[m]</t>
  </si>
  <si>
    <t>Lunghezze</t>
  </si>
  <si>
    <t>Spessori</t>
  </si>
  <si>
    <r>
      <t>(R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i</t>
    </r>
  </si>
  <si>
    <t>Dir. Y</t>
  </si>
  <si>
    <t>Dir. X</t>
  </si>
  <si>
    <r>
      <t>(R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>i</t>
    </r>
  </si>
  <si>
    <r>
      <t>λ</t>
    </r>
    <r>
      <rPr>
        <vertAlign val="subscript"/>
        <sz val="11"/>
        <color theme="1"/>
        <rFont val="Calibri"/>
        <family val="2"/>
        <scheme val="minor"/>
      </rPr>
      <t>1</t>
    </r>
  </si>
  <si>
    <r>
      <t>E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=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</si>
  <si>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</t>
    </r>
  </si>
  <si>
    <t>θ</t>
  </si>
  <si>
    <t>D</t>
  </si>
  <si>
    <r>
      <t>I</t>
    </r>
    <r>
      <rPr>
        <vertAlign val="subscript"/>
        <sz val="11"/>
        <color theme="1"/>
        <rFont val="Calibri"/>
        <family val="2"/>
        <scheme val="minor"/>
      </rPr>
      <t>col</t>
    </r>
  </si>
  <si>
    <r>
      <t>[m</t>
    </r>
    <r>
      <rPr>
        <vertAlign val="superscript"/>
        <sz val="11"/>
        <color theme="1"/>
        <rFont val="Calibri"/>
        <family val="2"/>
        <scheme val="minor"/>
      </rPr>
      <t>4</t>
    </r>
    <r>
      <rPr>
        <sz val="11"/>
        <color theme="1"/>
        <rFont val="Calibri"/>
        <family val="2"/>
        <scheme val="minor"/>
      </rPr>
      <t>]</t>
    </r>
  </si>
  <si>
    <t>a</t>
  </si>
  <si>
    <r>
      <t>a</t>
    </r>
    <r>
      <rPr>
        <vertAlign val="subscript"/>
        <sz val="11"/>
        <color theme="1"/>
        <rFont val="Calibri"/>
        <family val="2"/>
        <scheme val="minor"/>
      </rPr>
      <t>red</t>
    </r>
  </si>
  <si>
    <t>H</t>
  </si>
  <si>
    <r>
      <t>E</t>
    </r>
    <r>
      <rPr>
        <vertAlign val="subscript"/>
        <sz val="11"/>
        <color theme="1"/>
        <rFont val="Calibri"/>
        <family val="2"/>
        <scheme val="minor"/>
      </rPr>
      <t>a</t>
    </r>
  </si>
  <si>
    <t>E,node_i,node_j</t>
  </si>
  <si>
    <t>NOME</t>
  </si>
  <si>
    <t>MATERIALI</t>
  </si>
  <si>
    <t>SEZIONI</t>
  </si>
  <si>
    <t>Nodi bielle</t>
  </si>
  <si>
    <t>Rovesci</t>
  </si>
  <si>
    <t>Dritti</t>
  </si>
  <si>
    <t>1° Piano</t>
  </si>
  <si>
    <t>2° Piano</t>
  </si>
  <si>
    <r>
      <t>Nodi</t>
    </r>
    <r>
      <rPr>
        <vertAlign val="subscript"/>
        <sz val="11"/>
        <color theme="1"/>
        <rFont val="Calibri"/>
        <family val="2"/>
        <scheme val="minor"/>
      </rPr>
      <t>piano terra</t>
    </r>
  </si>
  <si>
    <r>
      <t>Nodi</t>
    </r>
    <r>
      <rPr>
        <vertAlign val="subscript"/>
        <sz val="11"/>
        <color theme="1"/>
        <rFont val="Calibri"/>
        <family val="2"/>
        <scheme val="minor"/>
      </rPr>
      <t xml:space="preserve"> Primo piano</t>
    </r>
  </si>
  <si>
    <r>
      <t>Nodi</t>
    </r>
    <r>
      <rPr>
        <vertAlign val="subscript"/>
        <sz val="11"/>
        <color theme="1"/>
        <rFont val="Calibri"/>
        <family val="2"/>
        <scheme val="minor"/>
      </rPr>
      <t xml:space="preserve"> Secondo piano</t>
    </r>
  </si>
  <si>
    <r>
      <t>a</t>
    </r>
    <r>
      <rPr>
        <vertAlign val="subscript"/>
        <sz val="11"/>
        <color theme="1"/>
        <rFont val="Calibri"/>
        <family val="2"/>
        <scheme val="minor"/>
      </rPr>
      <t>red,codice</t>
    </r>
  </si>
  <si>
    <t>NON TOCCARE</t>
  </si>
  <si>
    <t>Destri</t>
  </si>
  <si>
    <t>Mancini</t>
  </si>
  <si>
    <t>Sezioni</t>
  </si>
  <si>
    <t>Nome</t>
  </si>
  <si>
    <t xml:space="preserve">Blocco: </t>
  </si>
  <si>
    <t>A</t>
  </si>
  <si>
    <t>(maiuscolo!)</t>
  </si>
  <si>
    <t>Blocco: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</si>
</sst>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/>
    <xf numFmtId="0" fontId="4" fillId="0" borderId="0" xfId="0" applyFont="1" applyFill="1" applyAlignment="1">
      <alignment horizontal="center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/>
    </xf>
    <xf numFmtId="0" fontId="0" fillId="7" borderId="0" xfId="0" applyFill="1"/>
    <xf numFmtId="0" fontId="0" fillId="0" borderId="0" xfId="0" applyNumberFormat="1"/>
    <xf numFmtId="0" fontId="0" fillId="0" borderId="0" xfId="0" applyBorder="1"/>
    <xf numFmtId="0" fontId="0" fillId="0" borderId="0" xfId="0"/>
    <xf numFmtId="0" fontId="0" fillId="0" borderId="0" xfId="0" applyAlignment="1">
      <alignment horizontal="left" vertical="center"/>
    </xf>
    <xf numFmtId="0" fontId="0" fillId="0" borderId="1" xfId="0" applyBorder="1"/>
    <xf numFmtId="0" fontId="0" fillId="0" borderId="0" xfId="0" applyAlignment="1"/>
    <xf numFmtId="0" fontId="8" fillId="0" borderId="0" xfId="0" applyFont="1"/>
    <xf numFmtId="0" fontId="9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15</xdr:row>
          <xdr:rowOff>95250</xdr:rowOff>
        </xdr:from>
        <xdr:to>
          <xdr:col>3</xdr:col>
          <xdr:colOff>314325</xdr:colOff>
          <xdr:row>18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Let's do it!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tsb\Downloads\Telegram%20Desktop\c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Puntoni"/>
      <sheetName val="Output"/>
    </sheetNames>
    <sheetDataSet>
      <sheetData sheetId="0">
        <row r="16">
          <cell r="AD16">
            <v>10361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D45"/>
  <sheetViews>
    <sheetView tabSelected="1" workbookViewId="0">
      <selection activeCell="G19" sqref="G19"/>
    </sheetView>
  </sheetViews>
  <sheetFormatPr defaultRowHeight="15" x14ac:dyDescent="0.25"/>
  <sheetData>
    <row r="1" spans="2:30" ht="17.25" x14ac:dyDescent="0.25">
      <c r="J1" t="s">
        <v>10</v>
      </c>
      <c r="K1" t="s">
        <v>11</v>
      </c>
      <c r="L1" t="s">
        <v>18</v>
      </c>
    </row>
    <row r="2" spans="2:30" ht="18" x14ac:dyDescent="0.35">
      <c r="B2" t="s">
        <v>0</v>
      </c>
      <c r="C2" s="2">
        <v>5.5</v>
      </c>
      <c r="D2" t="s">
        <v>5</v>
      </c>
      <c r="F2" t="s">
        <v>8</v>
      </c>
      <c r="G2" s="1">
        <v>1000</v>
      </c>
      <c r="H2" t="s">
        <v>4</v>
      </c>
      <c r="J2" s="4"/>
      <c r="K2" s="5">
        <v>10</v>
      </c>
      <c r="L2" s="4"/>
      <c r="M2" s="5">
        <v>20</v>
      </c>
      <c r="N2" s="4"/>
      <c r="O2" s="5">
        <v>30</v>
      </c>
      <c r="P2" s="4"/>
      <c r="Q2" s="5">
        <v>40</v>
      </c>
      <c r="R2" s="4"/>
      <c r="S2" s="5">
        <v>50</v>
      </c>
      <c r="T2" s="4"/>
      <c r="U2" s="5">
        <v>60</v>
      </c>
    </row>
    <row r="3" spans="2:30" ht="18" x14ac:dyDescent="0.35">
      <c r="B3" t="s">
        <v>1</v>
      </c>
      <c r="C3" s="2">
        <v>5</v>
      </c>
      <c r="D3" t="s">
        <v>5</v>
      </c>
      <c r="J3" s="13">
        <v>100</v>
      </c>
      <c r="K3" s="3"/>
      <c r="L3" s="6" t="s">
        <v>12</v>
      </c>
      <c r="M3" s="3"/>
      <c r="N3" s="6" t="s">
        <v>12</v>
      </c>
      <c r="O3" s="3"/>
      <c r="P3" s="6" t="s">
        <v>12</v>
      </c>
      <c r="Q3" s="3"/>
      <c r="R3" s="6" t="s">
        <v>12</v>
      </c>
      <c r="S3" s="3"/>
      <c r="T3" s="6" t="s">
        <v>12</v>
      </c>
      <c r="U3" s="7"/>
      <c r="X3" s="21" t="s">
        <v>40</v>
      </c>
      <c r="Y3" s="15"/>
    </row>
    <row r="4" spans="2:30" ht="18" x14ac:dyDescent="0.35">
      <c r="F4" t="s">
        <v>21</v>
      </c>
      <c r="G4">
        <f>K_e*f_k</f>
        <v>2672.4826122908321</v>
      </c>
      <c r="H4" t="s">
        <v>5</v>
      </c>
      <c r="J4" s="4"/>
      <c r="K4" s="11"/>
      <c r="L4" s="5"/>
      <c r="M4" s="11"/>
      <c r="N4" s="5"/>
      <c r="O4" s="11"/>
      <c r="P4" s="5"/>
      <c r="Q4" s="11"/>
      <c r="R4" s="5"/>
      <c r="S4" s="11"/>
      <c r="T4" s="5"/>
      <c r="U4" s="10"/>
      <c r="X4" s="4"/>
      <c r="Y4" s="5">
        <v>10</v>
      </c>
      <c r="Z4" s="5">
        <v>20</v>
      </c>
      <c r="AA4" s="5">
        <v>30</v>
      </c>
      <c r="AB4" s="5">
        <v>40</v>
      </c>
      <c r="AC4" s="5">
        <v>50</v>
      </c>
      <c r="AD4" s="5">
        <v>60</v>
      </c>
    </row>
    <row r="5" spans="2:30" x14ac:dyDescent="0.25">
      <c r="B5" t="s">
        <v>2</v>
      </c>
      <c r="C5" s="1">
        <v>0.7</v>
      </c>
      <c r="D5" t="s">
        <v>4</v>
      </c>
      <c r="J5" s="14">
        <v>200</v>
      </c>
      <c r="K5" s="3"/>
      <c r="L5" s="8">
        <f>1*0.9*2.1</f>
        <v>1.8900000000000001</v>
      </c>
      <c r="M5" s="3"/>
      <c r="N5" s="8">
        <f>5*(1.07*0.38)+1*(1.05*2.58)</f>
        <v>4.742</v>
      </c>
      <c r="O5" s="3"/>
      <c r="P5" s="8">
        <f>5*(1.07*0.38)+1*(1.05*2.58)</f>
        <v>4.742</v>
      </c>
      <c r="Q5" s="3"/>
      <c r="R5" s="8">
        <f>5*(1.07*0.38)+1*(1.05*2.58)</f>
        <v>4.742</v>
      </c>
      <c r="S5" s="3"/>
      <c r="T5" s="8">
        <f>5*(1.07*0.38)+1*(1.05*2.58)</f>
        <v>4.742</v>
      </c>
      <c r="U5" s="7"/>
      <c r="X5" s="13">
        <v>100</v>
      </c>
      <c r="Y5" s="3">
        <f>10000+$X5+Y$4</f>
        <v>10110</v>
      </c>
      <c r="Z5" s="3">
        <f t="shared" ref="Z5:AD5" si="0">10000+$X5+Z$4</f>
        <v>10120</v>
      </c>
      <c r="AA5" s="3">
        <f t="shared" si="0"/>
        <v>10130</v>
      </c>
      <c r="AB5" s="3">
        <f t="shared" si="0"/>
        <v>10140</v>
      </c>
      <c r="AC5" s="3">
        <f t="shared" si="0"/>
        <v>10150</v>
      </c>
      <c r="AD5" s="3">
        <f t="shared" si="0"/>
        <v>10160</v>
      </c>
    </row>
    <row r="6" spans="2:30" x14ac:dyDescent="0.25">
      <c r="B6" t="s">
        <v>3</v>
      </c>
      <c r="C6" s="1">
        <v>0.3</v>
      </c>
      <c r="D6" t="s">
        <v>4</v>
      </c>
      <c r="J6" s="4"/>
      <c r="K6" s="11"/>
      <c r="L6" s="5"/>
      <c r="M6" s="11"/>
      <c r="N6" s="5"/>
      <c r="O6" s="11"/>
      <c r="P6" s="5"/>
      <c r="Q6" s="11"/>
      <c r="R6" s="5"/>
      <c r="S6" s="11"/>
      <c r="T6" s="5"/>
      <c r="U6" s="10"/>
      <c r="X6" s="14">
        <v>200</v>
      </c>
      <c r="Y6" s="3">
        <f t="shared" ref="Y6:AD8" si="1">10000+$X6+Y$4</f>
        <v>10210</v>
      </c>
      <c r="Z6" s="3">
        <f t="shared" si="1"/>
        <v>10220</v>
      </c>
      <c r="AA6" s="3">
        <f t="shared" si="1"/>
        <v>10230</v>
      </c>
      <c r="AB6" s="3">
        <f t="shared" si="1"/>
        <v>10240</v>
      </c>
      <c r="AC6" s="3">
        <f t="shared" si="1"/>
        <v>10250</v>
      </c>
      <c r="AD6" s="3">
        <f t="shared" si="1"/>
        <v>10260</v>
      </c>
    </row>
    <row r="7" spans="2:30" x14ac:dyDescent="0.25">
      <c r="J7" s="14">
        <v>300</v>
      </c>
      <c r="K7" s="3"/>
      <c r="L7" s="8">
        <f>1*0.9*2.1</f>
        <v>1.8900000000000001</v>
      </c>
      <c r="M7" s="3"/>
      <c r="N7" s="8">
        <f>5*(1.07*0.38)+1*(1.05*2.58)</f>
        <v>4.742</v>
      </c>
      <c r="O7" s="3"/>
      <c r="P7" s="8">
        <f>5*(1.07*0.38)+1*(1.05*2.58)</f>
        <v>4.742</v>
      </c>
      <c r="Q7" s="3"/>
      <c r="R7" s="8">
        <f>5*(1.07*0.38)+1*(1.05*2.58)</f>
        <v>4.742</v>
      </c>
      <c r="S7" s="3"/>
      <c r="T7" s="8">
        <f>5*(1.07*0.38)+1*(1.05*2.58)</f>
        <v>4.742</v>
      </c>
      <c r="U7" s="7"/>
      <c r="X7" s="14">
        <v>300</v>
      </c>
      <c r="Y7" s="3">
        <f t="shared" si="1"/>
        <v>10310</v>
      </c>
      <c r="Z7" s="3">
        <f t="shared" si="1"/>
        <v>10320</v>
      </c>
      <c r="AA7" s="3">
        <f t="shared" si="1"/>
        <v>10330</v>
      </c>
      <c r="AB7" s="3">
        <f t="shared" si="1"/>
        <v>10340</v>
      </c>
      <c r="AC7" s="3">
        <f t="shared" si="1"/>
        <v>10350</v>
      </c>
      <c r="AD7" s="3">
        <f t="shared" si="1"/>
        <v>10360</v>
      </c>
    </row>
    <row r="8" spans="2:30" x14ac:dyDescent="0.25">
      <c r="B8" t="s">
        <v>6</v>
      </c>
      <c r="C8" s="1">
        <v>0.5</v>
      </c>
      <c r="D8" t="s">
        <v>4</v>
      </c>
      <c r="J8" s="4"/>
      <c r="K8" s="11"/>
      <c r="L8" s="5"/>
      <c r="M8" s="11"/>
      <c r="N8" s="5"/>
      <c r="O8" s="11"/>
      <c r="P8" s="5"/>
      <c r="Q8" s="11"/>
      <c r="R8" s="5"/>
      <c r="S8" s="11"/>
      <c r="T8" s="5"/>
      <c r="U8" s="10"/>
      <c r="X8" s="14">
        <v>400</v>
      </c>
      <c r="Y8" s="3">
        <f t="shared" si="1"/>
        <v>10410</v>
      </c>
      <c r="Z8" s="3">
        <f t="shared" si="1"/>
        <v>10420</v>
      </c>
      <c r="AA8" s="3">
        <f t="shared" si="1"/>
        <v>10430</v>
      </c>
      <c r="AB8" s="3">
        <f t="shared" si="1"/>
        <v>10440</v>
      </c>
      <c r="AC8" s="3">
        <f t="shared" si="1"/>
        <v>10450</v>
      </c>
      <c r="AD8" s="3">
        <f t="shared" si="1"/>
        <v>10460</v>
      </c>
    </row>
    <row r="9" spans="2:30" ht="18" x14ac:dyDescent="0.35">
      <c r="F9" t="s">
        <v>22</v>
      </c>
      <c r="G9" s="18">
        <v>31600</v>
      </c>
      <c r="H9" s="20" t="s">
        <v>5</v>
      </c>
      <c r="J9" s="14">
        <v>400</v>
      </c>
      <c r="K9" s="3"/>
      <c r="L9" s="6" t="s">
        <v>12</v>
      </c>
      <c r="M9" s="3"/>
      <c r="N9" s="6" t="s">
        <v>12</v>
      </c>
      <c r="O9" s="3"/>
      <c r="P9" s="6" t="s">
        <v>12</v>
      </c>
      <c r="Q9" s="3"/>
      <c r="R9" s="6" t="s">
        <v>12</v>
      </c>
      <c r="S9" s="3"/>
      <c r="T9" s="6" t="s">
        <v>12</v>
      </c>
      <c r="U9" s="7"/>
      <c r="Y9" s="11"/>
    </row>
    <row r="10" spans="2:30" ht="18" x14ac:dyDescent="0.35">
      <c r="B10" t="s">
        <v>7</v>
      </c>
      <c r="C10">
        <f>K * f_b^alpha*f_m^beta</f>
        <v>2.6724826122908323</v>
      </c>
      <c r="D10" t="s">
        <v>5</v>
      </c>
      <c r="Y10" s="11"/>
    </row>
    <row r="11" spans="2:30" x14ac:dyDescent="0.25">
      <c r="Y11" s="11"/>
    </row>
    <row r="12" spans="2:30" ht="18" x14ac:dyDescent="0.25">
      <c r="B12" t="s">
        <v>9</v>
      </c>
      <c r="D12" s="1">
        <v>3.4</v>
      </c>
      <c r="E12" t="s">
        <v>13</v>
      </c>
      <c r="J12" t="s">
        <v>10</v>
      </c>
      <c r="K12" t="s">
        <v>11</v>
      </c>
      <c r="L12" t="s">
        <v>17</v>
      </c>
      <c r="X12" s="21" t="s">
        <v>41</v>
      </c>
      <c r="Y12" s="15"/>
    </row>
    <row r="13" spans="2:30" x14ac:dyDescent="0.25">
      <c r="J13" s="4"/>
      <c r="K13" s="5">
        <v>10</v>
      </c>
      <c r="L13" s="4"/>
      <c r="M13" s="5">
        <v>20</v>
      </c>
      <c r="N13" s="4"/>
      <c r="O13" s="5">
        <v>30</v>
      </c>
      <c r="P13" s="4"/>
      <c r="Q13" s="5">
        <v>40</v>
      </c>
      <c r="R13" s="4"/>
      <c r="S13" s="5">
        <v>50</v>
      </c>
      <c r="T13" s="4"/>
      <c r="U13" s="5">
        <v>60</v>
      </c>
      <c r="X13" s="4"/>
      <c r="Y13" s="5">
        <v>10</v>
      </c>
      <c r="Z13" s="5">
        <v>20</v>
      </c>
      <c r="AA13" s="5">
        <v>30</v>
      </c>
      <c r="AB13" s="5">
        <v>40</v>
      </c>
      <c r="AC13" s="5">
        <v>50</v>
      </c>
      <c r="AD13" s="5">
        <v>60</v>
      </c>
    </row>
    <row r="14" spans="2:30" x14ac:dyDescent="0.25">
      <c r="J14" s="13">
        <v>100</v>
      </c>
      <c r="K14" s="3"/>
      <c r="L14" s="8">
        <v>0</v>
      </c>
      <c r="M14" s="3"/>
      <c r="N14" s="8">
        <v>0</v>
      </c>
      <c r="O14" s="3"/>
      <c r="P14" s="8">
        <v>0</v>
      </c>
      <c r="Q14" s="3"/>
      <c r="R14" s="8">
        <v>0</v>
      </c>
      <c r="S14" s="3"/>
      <c r="T14" s="8">
        <v>0</v>
      </c>
      <c r="U14" s="9"/>
      <c r="X14" s="13">
        <v>100</v>
      </c>
      <c r="Y14" s="3">
        <f>Y5+1</f>
        <v>10111</v>
      </c>
      <c r="Z14" s="3">
        <f t="shared" ref="Z14:AD14" si="2">Z5+1</f>
        <v>10121</v>
      </c>
      <c r="AA14" s="3">
        <f t="shared" si="2"/>
        <v>10131</v>
      </c>
      <c r="AB14" s="3">
        <f t="shared" si="2"/>
        <v>10141</v>
      </c>
      <c r="AC14" s="3">
        <f t="shared" si="2"/>
        <v>10151</v>
      </c>
      <c r="AD14" s="3">
        <f t="shared" si="2"/>
        <v>10161</v>
      </c>
    </row>
    <row r="15" spans="2:30" ht="18.75" x14ac:dyDescent="0.3">
      <c r="F15" t="s">
        <v>49</v>
      </c>
      <c r="G15" s="25" t="s">
        <v>50</v>
      </c>
      <c r="J15" s="4"/>
      <c r="K15" s="11"/>
      <c r="L15" s="5"/>
      <c r="M15" s="11"/>
      <c r="N15" s="5"/>
      <c r="O15" s="11"/>
      <c r="P15" s="5"/>
      <c r="Q15" s="11"/>
      <c r="R15" s="5"/>
      <c r="S15" s="11"/>
      <c r="T15" s="5"/>
      <c r="U15" s="10"/>
      <c r="X15" s="14">
        <v>200</v>
      </c>
      <c r="Y15" s="3">
        <v>12214</v>
      </c>
      <c r="Z15" s="3">
        <f t="shared" ref="Y15:AD17" si="3">Z6+1</f>
        <v>10221</v>
      </c>
      <c r="AA15" s="3">
        <f t="shared" si="3"/>
        <v>10231</v>
      </c>
      <c r="AB15" s="3">
        <f t="shared" si="3"/>
        <v>10241</v>
      </c>
      <c r="AC15" s="3">
        <f t="shared" si="3"/>
        <v>10251</v>
      </c>
      <c r="AD15" s="3">
        <f t="shared" si="3"/>
        <v>10261</v>
      </c>
    </row>
    <row r="16" spans="2:30" x14ac:dyDescent="0.25">
      <c r="G16" t="s">
        <v>51</v>
      </c>
      <c r="J16" s="14">
        <v>300</v>
      </c>
      <c r="K16" s="3"/>
      <c r="L16" s="8">
        <v>0</v>
      </c>
      <c r="M16" s="3"/>
      <c r="N16" s="8">
        <v>0</v>
      </c>
      <c r="O16" s="3"/>
      <c r="P16" s="8">
        <v>0</v>
      </c>
      <c r="Q16" s="3"/>
      <c r="R16" s="8">
        <v>0</v>
      </c>
      <c r="S16" s="3"/>
      <c r="T16" s="8">
        <v>0</v>
      </c>
      <c r="U16" s="9"/>
      <c r="X16" s="14">
        <v>300</v>
      </c>
      <c r="Y16" s="3">
        <v>12314</v>
      </c>
      <c r="Z16" s="3">
        <f t="shared" si="3"/>
        <v>10321</v>
      </c>
      <c r="AA16" s="3">
        <f t="shared" si="3"/>
        <v>10331</v>
      </c>
      <c r="AB16" s="3">
        <f t="shared" si="3"/>
        <v>10341</v>
      </c>
      <c r="AC16" s="3">
        <f t="shared" si="3"/>
        <v>10351</v>
      </c>
      <c r="AD16" s="3">
        <f t="shared" si="3"/>
        <v>10361</v>
      </c>
    </row>
    <row r="17" spans="10:30" x14ac:dyDescent="0.25">
      <c r="X17" s="14">
        <v>400</v>
      </c>
      <c r="Y17" s="3">
        <f t="shared" si="3"/>
        <v>10411</v>
      </c>
      <c r="Z17" s="3">
        <f t="shared" si="3"/>
        <v>10421</v>
      </c>
      <c r="AA17" s="3">
        <f t="shared" si="3"/>
        <v>10431</v>
      </c>
      <c r="AB17" s="3">
        <f t="shared" si="3"/>
        <v>10441</v>
      </c>
      <c r="AC17" s="3">
        <f t="shared" si="3"/>
        <v>10451</v>
      </c>
      <c r="AD17" s="3">
        <f t="shared" si="3"/>
        <v>10461</v>
      </c>
    </row>
    <row r="18" spans="10:30" x14ac:dyDescent="0.25">
      <c r="J18" s="16" t="s">
        <v>14</v>
      </c>
      <c r="K18" s="15" t="s">
        <v>13</v>
      </c>
    </row>
    <row r="19" spans="10:30" x14ac:dyDescent="0.25">
      <c r="J19" s="4"/>
      <c r="L19" s="5">
        <v>10</v>
      </c>
      <c r="M19" s="4"/>
      <c r="N19" s="5">
        <v>20</v>
      </c>
      <c r="O19" s="4"/>
      <c r="P19" s="5">
        <v>30</v>
      </c>
      <c r="Q19" s="4"/>
      <c r="R19" s="5">
        <v>40</v>
      </c>
      <c r="S19" s="4"/>
      <c r="T19" s="5">
        <v>50</v>
      </c>
      <c r="U19" s="4"/>
      <c r="V19" s="5">
        <v>60</v>
      </c>
    </row>
    <row r="20" spans="10:30" x14ac:dyDescent="0.25">
      <c r="J20" s="13">
        <v>100</v>
      </c>
      <c r="L20" s="3"/>
      <c r="M20" s="6">
        <v>1.85</v>
      </c>
      <c r="N20" s="3"/>
      <c r="O20" s="6">
        <v>7</v>
      </c>
      <c r="P20" s="3"/>
      <c r="Q20" s="6">
        <v>7</v>
      </c>
      <c r="R20" s="3"/>
      <c r="S20" s="6">
        <v>7</v>
      </c>
      <c r="T20" s="3"/>
      <c r="U20" s="6">
        <v>7</v>
      </c>
      <c r="V20" s="7"/>
    </row>
    <row r="21" spans="10:30" ht="18" x14ac:dyDescent="0.25">
      <c r="J21" s="4"/>
      <c r="K21" s="17">
        <v>6.9</v>
      </c>
      <c r="X21" s="21" t="s">
        <v>42</v>
      </c>
      <c r="Y21" s="15"/>
    </row>
    <row r="22" spans="10:30" x14ac:dyDescent="0.25">
      <c r="J22" s="14">
        <v>200</v>
      </c>
      <c r="K22" s="11"/>
      <c r="X22" s="4"/>
      <c r="Y22" s="5">
        <v>10</v>
      </c>
      <c r="Z22" s="5">
        <v>20</v>
      </c>
      <c r="AA22" s="5">
        <v>30</v>
      </c>
      <c r="AB22" s="5">
        <v>40</v>
      </c>
      <c r="AC22" s="5">
        <v>50</v>
      </c>
      <c r="AD22" s="5">
        <v>60</v>
      </c>
    </row>
    <row r="23" spans="10:30" x14ac:dyDescent="0.25">
      <c r="J23" s="4"/>
      <c r="K23" s="17">
        <v>5.9</v>
      </c>
      <c r="X23" s="13">
        <v>100</v>
      </c>
      <c r="Y23" s="3">
        <f t="shared" ref="Y23:AD26" si="4">Y14+10000</f>
        <v>20111</v>
      </c>
      <c r="Z23" s="3">
        <f t="shared" si="4"/>
        <v>20121</v>
      </c>
      <c r="AA23" s="3">
        <f t="shared" si="4"/>
        <v>20131</v>
      </c>
      <c r="AB23" s="3">
        <f t="shared" si="4"/>
        <v>20141</v>
      </c>
      <c r="AC23" s="3">
        <f t="shared" si="4"/>
        <v>20151</v>
      </c>
      <c r="AD23" s="3">
        <f t="shared" si="4"/>
        <v>20161</v>
      </c>
    </row>
    <row r="24" spans="10:30" x14ac:dyDescent="0.25">
      <c r="J24" s="14">
        <v>300</v>
      </c>
      <c r="K24" s="11"/>
      <c r="X24" s="14">
        <v>200</v>
      </c>
      <c r="Y24" s="3">
        <f t="shared" si="4"/>
        <v>22214</v>
      </c>
      <c r="Z24" s="3">
        <f t="shared" si="4"/>
        <v>20221</v>
      </c>
      <c r="AA24" s="3">
        <f t="shared" si="4"/>
        <v>20231</v>
      </c>
      <c r="AB24" s="3">
        <f t="shared" si="4"/>
        <v>20241</v>
      </c>
      <c r="AC24" s="3">
        <f t="shared" si="4"/>
        <v>20251</v>
      </c>
      <c r="AD24" s="3">
        <f t="shared" si="4"/>
        <v>20261</v>
      </c>
    </row>
    <row r="25" spans="10:30" x14ac:dyDescent="0.25">
      <c r="J25" s="4"/>
      <c r="K25" s="17">
        <v>6.9</v>
      </c>
      <c r="X25" s="14">
        <v>300</v>
      </c>
      <c r="Y25" s="3">
        <f t="shared" si="4"/>
        <v>22314</v>
      </c>
      <c r="Z25" s="3">
        <f t="shared" si="4"/>
        <v>20321</v>
      </c>
      <c r="AA25" s="3">
        <f t="shared" si="4"/>
        <v>20331</v>
      </c>
      <c r="AB25" s="3">
        <f t="shared" si="4"/>
        <v>20341</v>
      </c>
      <c r="AC25" s="3">
        <f t="shared" si="4"/>
        <v>20351</v>
      </c>
      <c r="AD25" s="3">
        <f t="shared" si="4"/>
        <v>20361</v>
      </c>
    </row>
    <row r="26" spans="10:30" x14ac:dyDescent="0.25">
      <c r="J26" s="14">
        <v>400</v>
      </c>
      <c r="K26" s="11"/>
      <c r="X26" s="14">
        <v>400</v>
      </c>
      <c r="Y26" s="3">
        <f t="shared" si="4"/>
        <v>20411</v>
      </c>
      <c r="Z26" s="3">
        <f t="shared" si="4"/>
        <v>20421</v>
      </c>
      <c r="AA26" s="3">
        <f t="shared" si="4"/>
        <v>20431</v>
      </c>
      <c r="AB26" s="3">
        <f t="shared" si="4"/>
        <v>20441</v>
      </c>
      <c r="AC26" s="3">
        <f t="shared" si="4"/>
        <v>20451</v>
      </c>
      <c r="AD26" s="3">
        <f t="shared" si="4"/>
        <v>20461</v>
      </c>
    </row>
    <row r="27" spans="10:30" x14ac:dyDescent="0.25">
      <c r="K27" s="11"/>
    </row>
    <row r="29" spans="10:30" x14ac:dyDescent="0.25">
      <c r="J29" t="s">
        <v>15</v>
      </c>
      <c r="K29" t="s">
        <v>13</v>
      </c>
      <c r="L29" t="s">
        <v>18</v>
      </c>
    </row>
    <row r="30" spans="10:30" x14ac:dyDescent="0.25">
      <c r="J30" s="4"/>
      <c r="K30" s="5">
        <v>10</v>
      </c>
      <c r="L30" s="4"/>
      <c r="M30" s="5">
        <v>20</v>
      </c>
      <c r="N30" s="4"/>
      <c r="O30" s="5">
        <v>30</v>
      </c>
      <c r="P30" s="4"/>
      <c r="Q30" s="5">
        <v>40</v>
      </c>
      <c r="R30" s="4"/>
      <c r="S30" s="5">
        <v>50</v>
      </c>
      <c r="T30" s="4"/>
      <c r="U30" s="5">
        <v>60</v>
      </c>
      <c r="V30" s="10"/>
    </row>
    <row r="31" spans="10:30" x14ac:dyDescent="0.25">
      <c r="J31" s="13">
        <v>100</v>
      </c>
      <c r="K31" s="3"/>
      <c r="L31" s="6" t="s">
        <v>12</v>
      </c>
      <c r="M31" s="3"/>
      <c r="N31" s="6" t="s">
        <v>12</v>
      </c>
      <c r="O31" s="3"/>
      <c r="P31" s="6" t="s">
        <v>12</v>
      </c>
      <c r="Q31" s="3"/>
      <c r="R31" s="6" t="s">
        <v>12</v>
      </c>
      <c r="S31" s="3"/>
      <c r="T31" s="6" t="s">
        <v>12</v>
      </c>
      <c r="U31" s="7"/>
      <c r="V31" s="12"/>
    </row>
    <row r="32" spans="10:30" x14ac:dyDescent="0.25">
      <c r="J32" s="4"/>
      <c r="K32" s="11"/>
      <c r="L32" s="5"/>
      <c r="M32" s="11"/>
      <c r="N32" s="5"/>
      <c r="O32" s="11"/>
      <c r="P32" s="5"/>
      <c r="Q32" s="11"/>
      <c r="R32" s="5"/>
      <c r="S32" s="11"/>
      <c r="T32" s="5"/>
      <c r="U32" s="10"/>
    </row>
    <row r="33" spans="10:21" x14ac:dyDescent="0.25">
      <c r="J33" s="14">
        <v>200</v>
      </c>
      <c r="K33" s="3"/>
      <c r="L33" s="8">
        <v>0.25</v>
      </c>
      <c r="M33" s="3"/>
      <c r="N33" s="8">
        <f>L33</f>
        <v>0.25</v>
      </c>
      <c r="O33" s="3"/>
      <c r="P33" s="8">
        <f>L33</f>
        <v>0.25</v>
      </c>
      <c r="Q33" s="3"/>
      <c r="R33" s="8">
        <f>L33</f>
        <v>0.25</v>
      </c>
      <c r="S33" s="3"/>
      <c r="T33" s="8">
        <f>L33</f>
        <v>0.25</v>
      </c>
      <c r="U33" s="7"/>
    </row>
    <row r="34" spans="10:21" x14ac:dyDescent="0.25">
      <c r="J34" s="4"/>
      <c r="K34" s="11"/>
      <c r="L34" s="5"/>
      <c r="M34" s="11"/>
      <c r="N34" s="5"/>
      <c r="O34" s="11"/>
      <c r="P34" s="5"/>
      <c r="Q34" s="11"/>
      <c r="R34" s="5"/>
      <c r="S34" s="11"/>
      <c r="T34" s="5"/>
      <c r="U34" s="10"/>
    </row>
    <row r="35" spans="10:21" x14ac:dyDescent="0.25">
      <c r="J35" s="14">
        <v>300</v>
      </c>
      <c r="K35" s="3"/>
      <c r="L35" s="8">
        <f>L33</f>
        <v>0.25</v>
      </c>
      <c r="M35" s="3"/>
      <c r="N35" s="8">
        <f>L33</f>
        <v>0.25</v>
      </c>
      <c r="O35" s="3"/>
      <c r="P35" s="8">
        <f>L33</f>
        <v>0.25</v>
      </c>
      <c r="Q35" s="3"/>
      <c r="R35" s="8">
        <f>L33</f>
        <v>0.25</v>
      </c>
      <c r="S35" s="3"/>
      <c r="T35" s="8">
        <f>L33</f>
        <v>0.25</v>
      </c>
      <c r="U35" s="7"/>
    </row>
    <row r="36" spans="10:21" x14ac:dyDescent="0.25">
      <c r="J36" s="4"/>
      <c r="K36" s="11"/>
      <c r="L36" s="5"/>
      <c r="M36" s="11"/>
      <c r="N36" s="5"/>
      <c r="O36" s="11"/>
      <c r="P36" s="5"/>
      <c r="Q36" s="11"/>
      <c r="R36" s="5"/>
      <c r="S36" s="11"/>
      <c r="T36" s="5"/>
      <c r="U36" s="10"/>
    </row>
    <row r="37" spans="10:21" x14ac:dyDescent="0.25">
      <c r="J37" s="14">
        <v>400</v>
      </c>
      <c r="K37" s="3"/>
      <c r="L37" s="6" t="s">
        <v>12</v>
      </c>
      <c r="M37" s="3"/>
      <c r="N37" s="6" t="s">
        <v>12</v>
      </c>
      <c r="O37" s="3"/>
      <c r="P37" s="6" t="s">
        <v>12</v>
      </c>
      <c r="Q37" s="3"/>
      <c r="R37" s="6" t="s">
        <v>12</v>
      </c>
      <c r="S37" s="3"/>
      <c r="T37" s="6" t="s">
        <v>12</v>
      </c>
      <c r="U37" s="7"/>
    </row>
    <row r="41" spans="10:21" x14ac:dyDescent="0.25">
      <c r="J41" t="s">
        <v>15</v>
      </c>
      <c r="K41" t="s">
        <v>13</v>
      </c>
      <c r="L41" t="s">
        <v>17</v>
      </c>
    </row>
    <row r="42" spans="10:21" x14ac:dyDescent="0.25">
      <c r="J42" s="4"/>
      <c r="K42" s="5">
        <v>10</v>
      </c>
      <c r="L42" s="4"/>
      <c r="M42" s="5">
        <v>20</v>
      </c>
      <c r="N42" s="4"/>
      <c r="O42" s="5">
        <v>30</v>
      </c>
      <c r="P42" s="4"/>
      <c r="Q42" s="5">
        <v>40</v>
      </c>
      <c r="R42" s="4"/>
      <c r="S42" s="5">
        <v>50</v>
      </c>
      <c r="T42" s="4"/>
      <c r="U42" s="5">
        <v>60</v>
      </c>
    </row>
    <row r="43" spans="10:21" x14ac:dyDescent="0.25">
      <c r="J43" s="13">
        <v>100</v>
      </c>
      <c r="K43" s="3"/>
      <c r="L43" s="8">
        <f>L33</f>
        <v>0.25</v>
      </c>
      <c r="M43" s="3"/>
      <c r="N43" s="8">
        <f>L33</f>
        <v>0.25</v>
      </c>
      <c r="O43" s="3"/>
      <c r="P43" s="8">
        <f>L33</f>
        <v>0.25</v>
      </c>
      <c r="Q43" s="3"/>
      <c r="R43" s="8">
        <f>L33</f>
        <v>0.25</v>
      </c>
      <c r="S43" s="3"/>
      <c r="T43" s="8">
        <f>L33</f>
        <v>0.25</v>
      </c>
      <c r="U43" s="9"/>
    </row>
    <row r="44" spans="10:21" x14ac:dyDescent="0.25">
      <c r="J44" s="4"/>
      <c r="K44" s="11"/>
      <c r="L44" s="5"/>
      <c r="M44" s="11"/>
      <c r="N44" s="5"/>
      <c r="O44" s="11"/>
      <c r="P44" s="5"/>
      <c r="Q44" s="11"/>
      <c r="R44" s="5"/>
      <c r="S44" s="11"/>
      <c r="T44" s="5"/>
      <c r="U44" s="10"/>
    </row>
    <row r="45" spans="10:21" x14ac:dyDescent="0.25">
      <c r="J45" s="14">
        <v>300</v>
      </c>
      <c r="K45" s="3"/>
      <c r="L45" s="8">
        <f>L33</f>
        <v>0.25</v>
      </c>
      <c r="M45" s="3"/>
      <c r="N45" s="8">
        <f>L33</f>
        <v>0.25</v>
      </c>
      <c r="O45" s="3"/>
      <c r="P45" s="8">
        <f>L33</f>
        <v>0.25</v>
      </c>
      <c r="Q45" s="3"/>
      <c r="R45" s="8">
        <f>L33</f>
        <v>0.25</v>
      </c>
      <c r="S45" s="3"/>
      <c r="T45" s="8">
        <f>L33</f>
        <v>0.25</v>
      </c>
      <c r="U45" s="9"/>
    </row>
  </sheetData>
  <dataValidations count="1">
    <dataValidation type="textLength" operator="equal" allowBlank="1" showInputMessage="1" showErrorMessage="1" errorTitle="Errore" error="Il campo deve contenere il nome del blocco a cui sono riferiti i puntoni (come da modello Ansys)" sqref="G15" xr:uid="{FB743928-7D9B-4E1B-8699-DEE26BB74277}">
      <formula1>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Export">
                <anchor moveWithCells="1" sizeWithCells="1">
                  <from>
                    <xdr:col>1</xdr:col>
                    <xdr:colOff>57150</xdr:colOff>
                    <xdr:row>15</xdr:row>
                    <xdr:rowOff>95250</xdr:rowOff>
                  </from>
                  <to>
                    <xdr:col>3</xdr:col>
                    <xdr:colOff>314325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E3:CQ86"/>
  <sheetViews>
    <sheetView topLeftCell="AJ31" zoomScale="85" zoomScaleNormal="85" workbookViewId="0">
      <selection activeCell="AV52" sqref="AV52:AV71"/>
    </sheetView>
  </sheetViews>
  <sheetFormatPr defaultRowHeight="15" x14ac:dyDescent="0.25"/>
  <cols>
    <col min="18" max="18" width="9.140625" customWidth="1"/>
  </cols>
  <sheetData>
    <row r="3" spans="5:95" ht="18" x14ac:dyDescent="0.35">
      <c r="AV3" t="s">
        <v>30</v>
      </c>
    </row>
    <row r="5" spans="5:95" x14ac:dyDescent="0.25">
      <c r="CA5" s="20" t="s">
        <v>44</v>
      </c>
    </row>
    <row r="6" spans="5:95" x14ac:dyDescent="0.25">
      <c r="BV6" s="26" t="s">
        <v>35</v>
      </c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</row>
    <row r="7" spans="5:95" x14ac:dyDescent="0.25">
      <c r="BV7" s="26" t="s">
        <v>38</v>
      </c>
      <c r="BW7" s="26"/>
      <c r="BX7" s="26"/>
      <c r="BY7" s="26"/>
      <c r="BZ7" s="26"/>
      <c r="CC7" s="26" t="s">
        <v>39</v>
      </c>
      <c r="CD7" s="26"/>
      <c r="CE7" s="26"/>
      <c r="CF7" s="26"/>
      <c r="CG7" s="26"/>
    </row>
    <row r="8" spans="5:95" x14ac:dyDescent="0.25">
      <c r="BH8" s="20" t="s">
        <v>44</v>
      </c>
      <c r="BV8" s="26" t="s">
        <v>37</v>
      </c>
      <c r="BW8" s="26"/>
      <c r="BX8" s="23"/>
      <c r="BY8" s="26" t="s">
        <v>36</v>
      </c>
      <c r="BZ8" s="26"/>
      <c r="CA8" s="23"/>
      <c r="CB8" s="23"/>
      <c r="CC8" s="26" t="s">
        <v>37</v>
      </c>
      <c r="CD8" s="26"/>
      <c r="CF8" s="26" t="s">
        <v>36</v>
      </c>
      <c r="CG8" s="26"/>
    </row>
    <row r="9" spans="5:95" ht="18.75" x14ac:dyDescent="0.35">
      <c r="E9" t="s">
        <v>16</v>
      </c>
      <c r="F9" t="s">
        <v>11</v>
      </c>
      <c r="G9" t="s">
        <v>18</v>
      </c>
      <c r="S9" t="s">
        <v>19</v>
      </c>
      <c r="T9" t="s">
        <v>11</v>
      </c>
      <c r="U9" t="s">
        <v>18</v>
      </c>
      <c r="AG9" t="s">
        <v>27</v>
      </c>
      <c r="AH9" t="s">
        <v>11</v>
      </c>
      <c r="AI9" t="s">
        <v>18</v>
      </c>
      <c r="AU9" t="s">
        <v>32</v>
      </c>
      <c r="AV9" t="s">
        <v>11</v>
      </c>
      <c r="AW9" t="s">
        <v>18</v>
      </c>
      <c r="BH9">
        <f>AW13</f>
        <v>19210</v>
      </c>
      <c r="BV9" s="18">
        <f>Input!Y6</f>
        <v>10210</v>
      </c>
      <c r="BW9" s="18">
        <f>Input!Z15</f>
        <v>10221</v>
      </c>
      <c r="BY9">
        <f>Input!Z6</f>
        <v>10220</v>
      </c>
      <c r="BZ9">
        <f>Input!Y15</f>
        <v>12214</v>
      </c>
      <c r="CC9" s="18">
        <f>Input!Y15</f>
        <v>12214</v>
      </c>
      <c r="CD9" s="18">
        <f>Input!Z24</f>
        <v>20221</v>
      </c>
      <c r="CF9">
        <f>Input!Z15</f>
        <v>10221</v>
      </c>
      <c r="CG9">
        <f>Input!Y24</f>
        <v>22214</v>
      </c>
    </row>
    <row r="10" spans="5:95" x14ac:dyDescent="0.25">
      <c r="E10" s="4"/>
      <c r="F10" s="5">
        <v>10</v>
      </c>
      <c r="G10" s="4"/>
      <c r="H10" s="5">
        <v>20</v>
      </c>
      <c r="I10" s="4"/>
      <c r="J10" s="5">
        <v>30</v>
      </c>
      <c r="K10" s="4"/>
      <c r="L10" s="5">
        <v>40</v>
      </c>
      <c r="M10" s="4"/>
      <c r="N10" s="5">
        <v>50</v>
      </c>
      <c r="O10" s="4"/>
      <c r="P10" s="5">
        <v>60</v>
      </c>
      <c r="S10" s="4"/>
      <c r="T10" s="5">
        <v>10</v>
      </c>
      <c r="U10" s="4"/>
      <c r="V10" s="5">
        <v>20</v>
      </c>
      <c r="W10" s="4"/>
      <c r="X10" s="5">
        <v>30</v>
      </c>
      <c r="Y10" s="4"/>
      <c r="Z10" s="5">
        <v>40</v>
      </c>
      <c r="AA10" s="4"/>
      <c r="AB10" s="5">
        <v>50</v>
      </c>
      <c r="AC10" s="4"/>
      <c r="AD10" s="5">
        <v>60</v>
      </c>
      <c r="AG10" s="4"/>
      <c r="AH10" s="5">
        <v>10</v>
      </c>
      <c r="AI10" s="4"/>
      <c r="AJ10" s="5">
        <v>20</v>
      </c>
      <c r="AK10" s="4"/>
      <c r="AL10" s="5">
        <v>30</v>
      </c>
      <c r="AM10" s="4"/>
      <c r="AN10" s="5">
        <v>40</v>
      </c>
      <c r="AO10" s="4"/>
      <c r="AP10" s="5">
        <v>50</v>
      </c>
      <c r="AQ10" s="4"/>
      <c r="AR10" s="5">
        <v>60</v>
      </c>
      <c r="AU10" s="4"/>
      <c r="AV10" s="5">
        <v>10</v>
      </c>
      <c r="AW10" s="4"/>
      <c r="AX10" s="5">
        <v>20</v>
      </c>
      <c r="AY10" s="4"/>
      <c r="AZ10" s="5">
        <v>30</v>
      </c>
      <c r="BA10" s="4"/>
      <c r="BB10" s="5">
        <v>40</v>
      </c>
      <c r="BC10" s="4"/>
      <c r="BD10" s="5">
        <v>50</v>
      </c>
      <c r="BE10" s="4"/>
      <c r="BF10" s="5">
        <v>60</v>
      </c>
      <c r="BH10">
        <f>AY13</f>
        <v>19220</v>
      </c>
      <c r="BV10" s="18">
        <f>Input!Z6</f>
        <v>10220</v>
      </c>
      <c r="BW10" s="18">
        <f>Input!AA15</f>
        <v>10231</v>
      </c>
      <c r="BY10">
        <f>Input!AA6</f>
        <v>10230</v>
      </c>
      <c r="BZ10">
        <f>Input!Z15</f>
        <v>10221</v>
      </c>
      <c r="CC10" s="18">
        <f>Input!Z15</f>
        <v>10221</v>
      </c>
      <c r="CD10" s="18">
        <f>Input!AA24</f>
        <v>20231</v>
      </c>
      <c r="CF10">
        <f>Input!AA15</f>
        <v>10231</v>
      </c>
      <c r="CG10">
        <f>Input!Z24</f>
        <v>20221</v>
      </c>
    </row>
    <row r="11" spans="5:95" x14ac:dyDescent="0.25">
      <c r="E11" s="13">
        <v>100</v>
      </c>
      <c r="F11" s="3"/>
      <c r="G11" s="6" t="s">
        <v>12</v>
      </c>
      <c r="H11" s="3"/>
      <c r="I11" s="6" t="s">
        <v>12</v>
      </c>
      <c r="J11" s="3"/>
      <c r="K11" s="6" t="s">
        <v>12</v>
      </c>
      <c r="L11" s="3"/>
      <c r="M11" s="6" t="s">
        <v>12</v>
      </c>
      <c r="N11" s="3"/>
      <c r="O11" s="6" t="s">
        <v>12</v>
      </c>
      <c r="P11" s="7"/>
      <c r="S11" s="13">
        <v>100</v>
      </c>
      <c r="T11" s="3"/>
      <c r="U11" s="6" t="s">
        <v>12</v>
      </c>
      <c r="V11" s="3"/>
      <c r="W11" s="6" t="s">
        <v>12</v>
      </c>
      <c r="X11" s="3"/>
      <c r="Y11" s="6" t="s">
        <v>12</v>
      </c>
      <c r="Z11" s="3"/>
      <c r="AA11" s="6" t="s">
        <v>12</v>
      </c>
      <c r="AB11" s="3"/>
      <c r="AC11" s="6" t="s">
        <v>12</v>
      </c>
      <c r="AD11" s="7"/>
      <c r="AG11" s="13">
        <v>100</v>
      </c>
      <c r="AH11" s="3"/>
      <c r="AI11" s="6" t="s">
        <v>12</v>
      </c>
      <c r="AJ11" s="3"/>
      <c r="AK11" s="6" t="s">
        <v>12</v>
      </c>
      <c r="AL11" s="3"/>
      <c r="AM11" s="6" t="s">
        <v>12</v>
      </c>
      <c r="AN11" s="3"/>
      <c r="AO11" s="6" t="s">
        <v>12</v>
      </c>
      <c r="AP11" s="3"/>
      <c r="AQ11" s="6" t="s">
        <v>12</v>
      </c>
      <c r="AR11" s="7"/>
      <c r="AU11" s="13">
        <v>100</v>
      </c>
      <c r="AV11" s="3"/>
      <c r="AW11" s="6" t="s">
        <v>12</v>
      </c>
      <c r="AX11" s="3"/>
      <c r="AY11" s="6" t="s">
        <v>12</v>
      </c>
      <c r="AZ11" s="3"/>
      <c r="BA11" s="6" t="s">
        <v>12</v>
      </c>
      <c r="BB11" s="3"/>
      <c r="BC11" s="6" t="s">
        <v>12</v>
      </c>
      <c r="BD11" s="3"/>
      <c r="BE11" s="6" t="s">
        <v>12</v>
      </c>
      <c r="BF11" s="7"/>
      <c r="BH11">
        <f>BA13</f>
        <v>19230</v>
      </c>
      <c r="BV11" s="18">
        <f>Input!AA6</f>
        <v>10230</v>
      </c>
      <c r="BW11" s="18">
        <f>Input!AB15</f>
        <v>10241</v>
      </c>
      <c r="BY11">
        <f>Input!AB6</f>
        <v>10240</v>
      </c>
      <c r="BZ11">
        <f>Input!AA15</f>
        <v>10231</v>
      </c>
      <c r="CC11" s="18">
        <f>Input!AA15</f>
        <v>10231</v>
      </c>
      <c r="CD11" s="18">
        <f>Input!AB24</f>
        <v>20241</v>
      </c>
      <c r="CF11">
        <f>Input!AB15</f>
        <v>10241</v>
      </c>
      <c r="CG11">
        <f>Input!AA24</f>
        <v>20231</v>
      </c>
      <c r="CL11" s="20"/>
      <c r="CM11" s="20"/>
      <c r="CN11" s="20"/>
      <c r="CO11" s="20"/>
      <c r="CQ11" s="20"/>
    </row>
    <row r="12" spans="5:95" x14ac:dyDescent="0.25">
      <c r="E12" s="4"/>
      <c r="F12" s="11"/>
      <c r="G12" s="5"/>
      <c r="H12" s="11"/>
      <c r="I12" s="5"/>
      <c r="J12" s="11"/>
      <c r="K12" s="5"/>
      <c r="L12" s="11"/>
      <c r="M12" s="5"/>
      <c r="N12" s="11"/>
      <c r="O12" s="5"/>
      <c r="P12" s="10"/>
      <c r="S12" s="4"/>
      <c r="T12" s="11"/>
      <c r="U12" s="5"/>
      <c r="V12" s="11"/>
      <c r="W12" s="5"/>
      <c r="X12" s="11"/>
      <c r="Y12" s="5"/>
      <c r="Z12" s="11"/>
      <c r="AA12" s="5"/>
      <c r="AB12" s="11"/>
      <c r="AC12" s="5"/>
      <c r="AD12" s="10"/>
      <c r="AG12" s="4"/>
      <c r="AH12" s="11"/>
      <c r="AI12" s="5"/>
      <c r="AJ12" s="11"/>
      <c r="AK12" s="5"/>
      <c r="AL12" s="11"/>
      <c r="AM12" s="5"/>
      <c r="AN12" s="11"/>
      <c r="AO12" s="5"/>
      <c r="AP12" s="11"/>
      <c r="AQ12" s="5"/>
      <c r="AR12" s="10"/>
      <c r="AU12" s="4"/>
      <c r="AV12" s="11"/>
      <c r="AW12" s="5"/>
      <c r="AX12" s="11"/>
      <c r="AY12" s="5"/>
      <c r="AZ12" s="11"/>
      <c r="BA12" s="5"/>
      <c r="BB12" s="11"/>
      <c r="BC12" s="5"/>
      <c r="BD12" s="11"/>
      <c r="BE12" s="5"/>
      <c r="BF12" s="10"/>
      <c r="BH12">
        <f>BC13</f>
        <v>19240</v>
      </c>
      <c r="BV12" s="18">
        <f>Input!AB6</f>
        <v>10240</v>
      </c>
      <c r="BW12" s="18">
        <f>Input!AC15</f>
        <v>10251</v>
      </c>
      <c r="BY12">
        <f>Input!AC6</f>
        <v>10250</v>
      </c>
      <c r="BZ12">
        <f>Input!AB15</f>
        <v>10241</v>
      </c>
      <c r="CC12" s="18">
        <f>Input!AB15</f>
        <v>10241</v>
      </c>
      <c r="CD12" s="18">
        <f>Input!AC24</f>
        <v>20251</v>
      </c>
      <c r="CF12">
        <f>Input!AC15</f>
        <v>10251</v>
      </c>
      <c r="CG12">
        <f>Input!AB24</f>
        <v>20241</v>
      </c>
      <c r="CP12" s="20"/>
      <c r="CQ12" s="20"/>
    </row>
    <row r="13" spans="5:95" x14ac:dyDescent="0.25">
      <c r="E13" s="14">
        <v>200</v>
      </c>
      <c r="F13" s="3"/>
      <c r="G13" s="17">
        <f>0.6*(A_21x/L_2x*interpiano)^2 - 1.6 * (A_21x/L_2x * interpiano) + 1</f>
        <v>3.6834399999999934E-2</v>
      </c>
      <c r="H13" s="3"/>
      <c r="I13" s="17">
        <f>0.6*(A_22x/L_2x*interpiano)^2 - 1.6 * (A_22x/L_2x * interpiano) + 1</f>
        <v>0.49778465110204007</v>
      </c>
      <c r="J13" s="3"/>
      <c r="K13" s="17">
        <f>0.6*(A_23x/L_2x*interpiano)^2 - 1.6 * (A_23x/L_2x * interpiano) + 1</f>
        <v>0.49778465110204007</v>
      </c>
      <c r="L13" s="3"/>
      <c r="M13" s="17">
        <f>0.6*(A_24x/L_2x*interpiano)^2 - 1.6 * (A_24x/L_2x * interpiano) + 1</f>
        <v>0.49778465110204007</v>
      </c>
      <c r="N13" s="3"/>
      <c r="O13" s="17">
        <f>0.6*(A_25x/L_2x*interpiano)^2 - 1.6 * (A_25x/L_2x * interpiano) + 1</f>
        <v>0.49778465110204007</v>
      </c>
      <c r="P13" s="7"/>
      <c r="S13" s="14">
        <v>200</v>
      </c>
      <c r="T13" s="3"/>
      <c r="U13" s="17">
        <v>1</v>
      </c>
      <c r="V13" s="3"/>
      <c r="W13" s="17">
        <v>1</v>
      </c>
      <c r="X13" s="3"/>
      <c r="Y13" s="17">
        <v>1</v>
      </c>
      <c r="Z13" s="3"/>
      <c r="AA13" s="17">
        <v>1</v>
      </c>
      <c r="AB13" s="3"/>
      <c r="AC13" s="17">
        <v>1</v>
      </c>
      <c r="AD13" s="7"/>
      <c r="AG13" s="14">
        <v>200</v>
      </c>
      <c r="AH13" s="3"/>
      <c r="AI13" s="17">
        <f>0.175*G55*(U55*G74)^(-0.4)</f>
        <v>0.40050034873398038</v>
      </c>
      <c r="AJ13" s="3"/>
      <c r="AK13" s="17">
        <f t="shared" ref="AK13" si="0">0.175*I55*(W55*I74)^(-0.4)</f>
        <v>0.81053395948596008</v>
      </c>
      <c r="AL13" s="3"/>
      <c r="AM13" s="17">
        <f t="shared" ref="AM13" si="1">0.175*K55*(Y55*K74)^(-0.4)</f>
        <v>0.81053395948596008</v>
      </c>
      <c r="AN13" s="3"/>
      <c r="AO13" s="17">
        <f t="shared" ref="AO13" si="2">0.175*M55*(AA55*M74)^(-0.4)</f>
        <v>0.81053395948596008</v>
      </c>
      <c r="AP13" s="3"/>
      <c r="AQ13" s="17">
        <f t="shared" ref="AQ13" si="3">0.175*O55*(AC55*O74)^(-0.4)</f>
        <v>0.81053395948596008</v>
      </c>
      <c r="AR13" s="7"/>
      <c r="AU13" s="14">
        <v>200</v>
      </c>
      <c r="AV13" s="3"/>
      <c r="AW13" s="17">
        <f>19210</f>
        <v>19210</v>
      </c>
      <c r="AX13" s="3"/>
      <c r="AY13" s="17">
        <f>AW13+10</f>
        <v>19220</v>
      </c>
      <c r="AZ13" s="3"/>
      <c r="BA13" s="17">
        <f>AY13+10</f>
        <v>19230</v>
      </c>
      <c r="BB13" s="3"/>
      <c r="BC13" s="17">
        <f t="shared" ref="BC13" si="4">BA13+10</f>
        <v>19240</v>
      </c>
      <c r="BD13" s="3"/>
      <c r="BE13" s="17">
        <f t="shared" ref="BE13" si="5">BC13+10</f>
        <v>19250</v>
      </c>
      <c r="BF13" s="3"/>
      <c r="BH13">
        <f>BE13</f>
        <v>19250</v>
      </c>
      <c r="BV13" s="18">
        <f>Input!AC6</f>
        <v>10250</v>
      </c>
      <c r="BW13" s="18">
        <f>Input!AD15</f>
        <v>10261</v>
      </c>
      <c r="BY13">
        <f>Input!AD6</f>
        <v>10260</v>
      </c>
      <c r="BZ13">
        <f>Input!AC15</f>
        <v>10251</v>
      </c>
      <c r="CC13" s="18">
        <f>Input!AC15</f>
        <v>10251</v>
      </c>
      <c r="CD13" s="18">
        <f>Input!AD24</f>
        <v>20261</v>
      </c>
      <c r="CF13">
        <f>Input!AD15</f>
        <v>10261</v>
      </c>
      <c r="CG13">
        <f>Input!AC24</f>
        <v>20251</v>
      </c>
    </row>
    <row r="14" spans="5:95" x14ac:dyDescent="0.25">
      <c r="E14" s="4"/>
      <c r="F14" s="11"/>
      <c r="G14" s="5"/>
      <c r="H14" s="11"/>
      <c r="I14" s="5"/>
      <c r="J14" s="11"/>
      <c r="K14" s="5"/>
      <c r="L14" s="11"/>
      <c r="M14" s="5"/>
      <c r="N14" s="11"/>
      <c r="O14" s="5"/>
      <c r="P14" s="10"/>
      <c r="S14" s="4"/>
      <c r="T14" s="11"/>
      <c r="U14" s="5"/>
      <c r="V14" s="11"/>
      <c r="W14" s="5"/>
      <c r="X14" s="11"/>
      <c r="Y14" s="5"/>
      <c r="Z14" s="11"/>
      <c r="AA14" s="5"/>
      <c r="AB14" s="11"/>
      <c r="AC14" s="5"/>
      <c r="AD14" s="10"/>
      <c r="AG14" s="4"/>
      <c r="AH14" s="11"/>
      <c r="AI14" s="5"/>
      <c r="AJ14" s="11"/>
      <c r="AK14" s="5"/>
      <c r="AL14" s="11"/>
      <c r="AM14" s="5"/>
      <c r="AN14" s="11"/>
      <c r="AO14" s="5"/>
      <c r="AP14" s="11"/>
      <c r="AQ14" s="5"/>
      <c r="AR14" s="10"/>
      <c r="AU14" s="4"/>
      <c r="AV14" s="11"/>
      <c r="AW14" s="5"/>
      <c r="AX14" s="11"/>
      <c r="AY14" s="5"/>
      <c r="AZ14" s="11"/>
      <c r="BA14" s="5"/>
      <c r="BB14" s="11"/>
      <c r="BC14" s="5"/>
      <c r="BD14" s="11"/>
      <c r="BE14" s="5"/>
      <c r="BF14" s="10"/>
      <c r="BH14">
        <f>AW15</f>
        <v>19310</v>
      </c>
      <c r="BV14" s="18">
        <f>Input!Y7</f>
        <v>10310</v>
      </c>
      <c r="BW14" s="18">
        <f>Input!Z16</f>
        <v>10321</v>
      </c>
      <c r="BY14" s="20">
        <f>Input!Z7</f>
        <v>10320</v>
      </c>
      <c r="BZ14" s="20">
        <f>Input!Y16</f>
        <v>12314</v>
      </c>
      <c r="CC14" s="18">
        <f>Input!Y16</f>
        <v>12314</v>
      </c>
      <c r="CD14" s="18">
        <f>Input!Z25</f>
        <v>20321</v>
      </c>
      <c r="CF14">
        <f>Input!Z16</f>
        <v>10321</v>
      </c>
      <c r="CG14">
        <f>Input!Y25</f>
        <v>22314</v>
      </c>
    </row>
    <row r="15" spans="5:95" x14ac:dyDescent="0.25">
      <c r="E15" s="14">
        <v>300</v>
      </c>
      <c r="F15" s="3"/>
      <c r="G15" s="17">
        <f>0.6*(A_31x/L_3x*interpiano)^2 - 1.6 * (A_31x/L_3x * interpiano) + 1</f>
        <v>3.6834399999999934E-2</v>
      </c>
      <c r="H15" s="3"/>
      <c r="I15" s="17">
        <f>0.6*(A_32x/L_3x*interpiano)^2 - 1.6 * (A_32x/L_3x * interpiano) + 1</f>
        <v>0.49778465110204007</v>
      </c>
      <c r="J15" s="3"/>
      <c r="K15" s="17">
        <f>0.6*(A_33x/L_3x*interpiano)^2 - 1.6 * (A_33x/L_3x * interpiano) + 1</f>
        <v>0.49778465110204007</v>
      </c>
      <c r="L15" s="3"/>
      <c r="M15" s="17">
        <f>0.6*(A_34x/L_3x*interpiano)^2 - 1.6 * (A_34x/L_3x * interpiano) + 1</f>
        <v>0.49778465110204007</v>
      </c>
      <c r="N15" s="3"/>
      <c r="O15" s="17">
        <f>0.6*(A_35x/L_3x*interpiano)^2 - 1.6 * (A_35x/L_3x * interpiano) + 1</f>
        <v>0.49778465110204007</v>
      </c>
      <c r="P15" s="7"/>
      <c r="S15" s="14">
        <v>300</v>
      </c>
      <c r="T15" s="3"/>
      <c r="U15" s="17">
        <v>1</v>
      </c>
      <c r="V15" s="3"/>
      <c r="W15" s="17">
        <v>1</v>
      </c>
      <c r="X15" s="3"/>
      <c r="Y15" s="17">
        <v>1</v>
      </c>
      <c r="Z15" s="3"/>
      <c r="AA15" s="17">
        <v>1</v>
      </c>
      <c r="AB15" s="3"/>
      <c r="AC15" s="17">
        <v>1</v>
      </c>
      <c r="AD15" s="7"/>
      <c r="AG15" s="14">
        <v>300</v>
      </c>
      <c r="AH15" s="3"/>
      <c r="AI15" s="17">
        <f>0.175*G57*(U57*G76)^(-0.4)</f>
        <v>0.40050034873398038</v>
      </c>
      <c r="AJ15" s="3"/>
      <c r="AK15" s="17">
        <f t="shared" ref="AK15" si="6">0.175*I57*(W57*I76)^(-0.4)</f>
        <v>0.81053395948596008</v>
      </c>
      <c r="AL15" s="3"/>
      <c r="AM15" s="17">
        <f t="shared" ref="AM15" si="7">0.175*K57*(Y57*K76)^(-0.4)</f>
        <v>0.81053395948596008</v>
      </c>
      <c r="AN15" s="3"/>
      <c r="AO15" s="17">
        <f t="shared" ref="AO15" si="8">0.175*M57*(AA57*M76)^(-0.4)</f>
        <v>0.81053395948596008</v>
      </c>
      <c r="AP15" s="3"/>
      <c r="AQ15" s="17">
        <f t="shared" ref="AQ15" si="9">0.175*O57*(AC57*O76)^(-0.4)</f>
        <v>0.81053395948596008</v>
      </c>
      <c r="AR15" s="7"/>
      <c r="AU15" s="14">
        <v>300</v>
      </c>
      <c r="AV15" s="3"/>
      <c r="AW15" s="17">
        <f>AW13+100</f>
        <v>19310</v>
      </c>
      <c r="AX15" s="3"/>
      <c r="AY15" s="17">
        <f>AW15+10</f>
        <v>19320</v>
      </c>
      <c r="AZ15" s="3"/>
      <c r="BA15" s="17">
        <f t="shared" ref="BA15" si="10">AY15+10</f>
        <v>19330</v>
      </c>
      <c r="BB15" s="3"/>
      <c r="BC15" s="17">
        <f t="shared" ref="BC15" si="11">BA15+10</f>
        <v>19340</v>
      </c>
      <c r="BD15" s="3"/>
      <c r="BE15" s="17">
        <f t="shared" ref="BE15" si="12">BC15+10</f>
        <v>19350</v>
      </c>
      <c r="BF15" s="3"/>
      <c r="BH15">
        <f>AY15</f>
        <v>19320</v>
      </c>
      <c r="BV15" s="18">
        <f>Input!Z7</f>
        <v>10320</v>
      </c>
      <c r="BW15" s="18">
        <f>Input!AA16</f>
        <v>10331</v>
      </c>
      <c r="BY15" s="20">
        <f>Input!AA7</f>
        <v>10330</v>
      </c>
      <c r="BZ15" s="20">
        <f>Input!Z16</f>
        <v>10321</v>
      </c>
      <c r="CC15" s="18">
        <f>Input!Z16</f>
        <v>10321</v>
      </c>
      <c r="CD15" s="18">
        <f>Input!AA25</f>
        <v>20331</v>
      </c>
      <c r="CF15">
        <f>Input!AA16</f>
        <v>10331</v>
      </c>
      <c r="CG15">
        <f>Input!Z25</f>
        <v>20321</v>
      </c>
    </row>
    <row r="16" spans="5:95" x14ac:dyDescent="0.25">
      <c r="E16" s="4"/>
      <c r="F16" s="11"/>
      <c r="G16" s="5"/>
      <c r="H16" s="11"/>
      <c r="I16" s="5"/>
      <c r="J16" s="11"/>
      <c r="K16" s="5"/>
      <c r="L16" s="11"/>
      <c r="M16" s="5"/>
      <c r="N16" s="11"/>
      <c r="O16" s="5"/>
      <c r="P16" s="10"/>
      <c r="S16" s="4"/>
      <c r="T16" s="11"/>
      <c r="U16" s="5"/>
      <c r="V16" s="11"/>
      <c r="W16" s="5"/>
      <c r="X16" s="11"/>
      <c r="Y16" s="5"/>
      <c r="Z16" s="11"/>
      <c r="AA16" s="5"/>
      <c r="AB16" s="11"/>
      <c r="AC16" s="5"/>
      <c r="AD16" s="10"/>
      <c r="AG16" s="4"/>
      <c r="AH16" s="11"/>
      <c r="AI16" s="5"/>
      <c r="AJ16" s="11"/>
      <c r="AK16" s="5"/>
      <c r="AL16" s="11"/>
      <c r="AM16" s="5"/>
      <c r="AN16" s="11"/>
      <c r="AO16" s="5"/>
      <c r="AP16" s="11"/>
      <c r="AQ16" s="5"/>
      <c r="AR16" s="10"/>
      <c r="AU16" s="4"/>
      <c r="AV16" s="11"/>
      <c r="AW16" s="5"/>
      <c r="AX16" s="11"/>
      <c r="AY16" s="5"/>
      <c r="AZ16" s="11"/>
      <c r="BA16" s="5"/>
      <c r="BB16" s="11"/>
      <c r="BC16" s="5"/>
      <c r="BD16" s="11"/>
      <c r="BE16" s="5"/>
      <c r="BF16" s="10"/>
      <c r="BH16">
        <f>BA15</f>
        <v>19330</v>
      </c>
      <c r="BV16" s="18">
        <f>Input!AA7</f>
        <v>10330</v>
      </c>
      <c r="BW16" s="18">
        <f>Input!AB16</f>
        <v>10341</v>
      </c>
      <c r="BY16" s="20">
        <f>Input!AB7</f>
        <v>10340</v>
      </c>
      <c r="BZ16" s="20">
        <f>Input!AA16</f>
        <v>10331</v>
      </c>
      <c r="CC16" s="18">
        <f>Input!AA16</f>
        <v>10331</v>
      </c>
      <c r="CD16" s="18">
        <f>Input!AB25</f>
        <v>20341</v>
      </c>
      <c r="CF16">
        <f>Input!AB16</f>
        <v>10341</v>
      </c>
      <c r="CG16">
        <f>Input!AA25</f>
        <v>20331</v>
      </c>
    </row>
    <row r="17" spans="5:85" x14ac:dyDescent="0.25">
      <c r="E17" s="14">
        <v>400</v>
      </c>
      <c r="F17" s="3"/>
      <c r="G17" s="6" t="s">
        <v>12</v>
      </c>
      <c r="H17" s="3"/>
      <c r="I17" s="6" t="s">
        <v>12</v>
      </c>
      <c r="J17" s="3"/>
      <c r="K17" s="6" t="s">
        <v>12</v>
      </c>
      <c r="L17" s="3"/>
      <c r="M17" s="6" t="s">
        <v>12</v>
      </c>
      <c r="N17" s="3"/>
      <c r="O17" s="6" t="s">
        <v>12</v>
      </c>
      <c r="P17" s="7"/>
      <c r="S17" s="14">
        <v>400</v>
      </c>
      <c r="T17" s="3"/>
      <c r="U17" s="6" t="s">
        <v>12</v>
      </c>
      <c r="V17" s="3"/>
      <c r="W17" s="6" t="s">
        <v>12</v>
      </c>
      <c r="X17" s="3"/>
      <c r="Y17" s="6" t="s">
        <v>12</v>
      </c>
      <c r="Z17" s="3"/>
      <c r="AA17" s="6" t="s">
        <v>12</v>
      </c>
      <c r="AB17" s="3"/>
      <c r="AC17" s="6" t="s">
        <v>12</v>
      </c>
      <c r="AD17" s="7"/>
      <c r="AG17" s="14">
        <v>400</v>
      </c>
      <c r="AH17" s="3"/>
      <c r="AI17" s="6" t="s">
        <v>12</v>
      </c>
      <c r="AJ17" s="3"/>
      <c r="AK17" s="6" t="s">
        <v>12</v>
      </c>
      <c r="AL17" s="3"/>
      <c r="AM17" s="6" t="s">
        <v>12</v>
      </c>
      <c r="AN17" s="3"/>
      <c r="AO17" s="6" t="s">
        <v>12</v>
      </c>
      <c r="AP17" s="3"/>
      <c r="AQ17" s="6" t="s">
        <v>12</v>
      </c>
      <c r="AR17" s="7"/>
      <c r="AU17" s="14">
        <v>400</v>
      </c>
      <c r="AV17" s="3"/>
      <c r="AW17" s="6" t="s">
        <v>12</v>
      </c>
      <c r="AX17" s="3"/>
      <c r="AY17" s="6" t="s">
        <v>12</v>
      </c>
      <c r="AZ17" s="3"/>
      <c r="BA17" s="6" t="s">
        <v>12</v>
      </c>
      <c r="BB17" s="3"/>
      <c r="BC17" s="6" t="s">
        <v>12</v>
      </c>
      <c r="BD17" s="3"/>
      <c r="BE17" s="6" t="s">
        <v>12</v>
      </c>
      <c r="BF17" s="7"/>
      <c r="BH17">
        <f>BC15</f>
        <v>19340</v>
      </c>
      <c r="BV17" s="18">
        <f>Input!AB7</f>
        <v>10340</v>
      </c>
      <c r="BW17" s="18">
        <f>Input!AC16</f>
        <v>10351</v>
      </c>
      <c r="BY17" s="20">
        <f>Input!AC7</f>
        <v>10350</v>
      </c>
      <c r="BZ17" s="20">
        <f>Input!AB16</f>
        <v>10341</v>
      </c>
      <c r="CC17" s="18">
        <f>Input!AB16</f>
        <v>10341</v>
      </c>
      <c r="CD17" s="18">
        <f>Input!AC25</f>
        <v>20351</v>
      </c>
      <c r="CF17">
        <f>Input!AC16</f>
        <v>10351</v>
      </c>
      <c r="CG17">
        <f>Input!AB25</f>
        <v>20341</v>
      </c>
    </row>
    <row r="18" spans="5:85" x14ac:dyDescent="0.25">
      <c r="BH18">
        <f>BE15</f>
        <v>19350</v>
      </c>
      <c r="BV18" s="18">
        <f>Input!AC7</f>
        <v>10350</v>
      </c>
      <c r="BW18" s="18">
        <f>Input!AD16</f>
        <v>10361</v>
      </c>
      <c r="BY18" s="20">
        <f>Input!AD7</f>
        <v>10360</v>
      </c>
      <c r="BZ18" s="20">
        <f>Input!AC16</f>
        <v>10351</v>
      </c>
      <c r="CB18" s="22"/>
      <c r="CC18" s="18">
        <f>Input!AC16</f>
        <v>10351</v>
      </c>
      <c r="CD18" s="18">
        <f>Input!AD25</f>
        <v>20361</v>
      </c>
      <c r="CF18">
        <f>Input!AD16</f>
        <v>10361</v>
      </c>
      <c r="CG18">
        <f>Input!AC25</f>
        <v>20351</v>
      </c>
    </row>
    <row r="19" spans="5:85" x14ac:dyDescent="0.25">
      <c r="BH19">
        <f t="shared" ref="BH19" si="13">AW22</f>
        <v>19510</v>
      </c>
      <c r="BV19" s="18">
        <f>Input!Z5</f>
        <v>10120</v>
      </c>
      <c r="BW19" s="18">
        <f>Input!Z15</f>
        <v>10221</v>
      </c>
      <c r="BY19" s="20">
        <f>Input!Z6</f>
        <v>10220</v>
      </c>
      <c r="BZ19" s="20">
        <f>Input!Z14</f>
        <v>10121</v>
      </c>
      <c r="CC19" s="18">
        <f>Input!Z14</f>
        <v>10121</v>
      </c>
      <c r="CD19" s="18">
        <f>Input!Z24</f>
        <v>20221</v>
      </c>
      <c r="CF19">
        <f>Input!Z15</f>
        <v>10221</v>
      </c>
      <c r="CG19">
        <f>Input!Z23</f>
        <v>20121</v>
      </c>
    </row>
    <row r="20" spans="5:85" ht="18.75" x14ac:dyDescent="0.35">
      <c r="E20" t="s">
        <v>16</v>
      </c>
      <c r="F20" t="s">
        <v>11</v>
      </c>
      <c r="G20" t="s">
        <v>17</v>
      </c>
      <c r="S20" t="s">
        <v>19</v>
      </c>
      <c r="T20" t="s">
        <v>11</v>
      </c>
      <c r="U20" t="s">
        <v>17</v>
      </c>
      <c r="AG20" t="s">
        <v>27</v>
      </c>
      <c r="AH20" t="s">
        <v>11</v>
      </c>
      <c r="AI20" t="s">
        <v>17</v>
      </c>
      <c r="AU20" t="s">
        <v>32</v>
      </c>
      <c r="AV20" t="s">
        <v>11</v>
      </c>
      <c r="AW20" t="s">
        <v>17</v>
      </c>
      <c r="BH20">
        <f>AY22</f>
        <v>19520</v>
      </c>
      <c r="BV20" s="18">
        <f>Input!AA5</f>
        <v>10130</v>
      </c>
      <c r="BW20" s="18">
        <f>Input!AA15</f>
        <v>10231</v>
      </c>
      <c r="BY20" s="20">
        <f>Input!AA6</f>
        <v>10230</v>
      </c>
      <c r="BZ20" s="20">
        <f>Input!AA14</f>
        <v>10131</v>
      </c>
      <c r="CC20" s="18">
        <f>Input!AA14</f>
        <v>10131</v>
      </c>
      <c r="CD20" s="18">
        <f>Input!AA24</f>
        <v>20231</v>
      </c>
      <c r="CF20">
        <f>Input!AA15</f>
        <v>10231</v>
      </c>
      <c r="CG20" s="20">
        <f>Input!AA23</f>
        <v>20131</v>
      </c>
    </row>
    <row r="21" spans="5:85" x14ac:dyDescent="0.25">
      <c r="E21" s="4"/>
      <c r="F21" s="5">
        <v>10</v>
      </c>
      <c r="G21" s="4"/>
      <c r="H21" s="5">
        <v>20</v>
      </c>
      <c r="I21" s="4"/>
      <c r="J21" s="5">
        <v>30</v>
      </c>
      <c r="K21" s="4"/>
      <c r="L21" s="5">
        <v>40</v>
      </c>
      <c r="M21" s="4"/>
      <c r="N21" s="5">
        <v>50</v>
      </c>
      <c r="O21" s="4"/>
      <c r="P21" s="5">
        <v>60</v>
      </c>
      <c r="S21" s="4"/>
      <c r="T21" s="5">
        <v>10</v>
      </c>
      <c r="U21" s="4"/>
      <c r="V21" s="5">
        <v>20</v>
      </c>
      <c r="W21" s="4"/>
      <c r="X21" s="5">
        <v>30</v>
      </c>
      <c r="Y21" s="4"/>
      <c r="Z21" s="5">
        <v>40</v>
      </c>
      <c r="AA21" s="4"/>
      <c r="AB21" s="5">
        <v>50</v>
      </c>
      <c r="AC21" s="4"/>
      <c r="AD21" s="5">
        <v>60</v>
      </c>
      <c r="AG21" s="4"/>
      <c r="AH21" s="5">
        <v>10</v>
      </c>
      <c r="AI21" s="4"/>
      <c r="AJ21" s="5">
        <v>20</v>
      </c>
      <c r="AK21" s="4"/>
      <c r="AL21" s="5">
        <v>30</v>
      </c>
      <c r="AM21" s="4"/>
      <c r="AN21" s="5">
        <v>40</v>
      </c>
      <c r="AO21" s="4"/>
      <c r="AP21" s="5">
        <v>50</v>
      </c>
      <c r="AQ21" s="4"/>
      <c r="AR21" s="5">
        <v>60</v>
      </c>
      <c r="AU21" s="4"/>
      <c r="AV21" s="5">
        <v>10</v>
      </c>
      <c r="AW21" s="4"/>
      <c r="AX21" s="5">
        <v>20</v>
      </c>
      <c r="AY21" s="4"/>
      <c r="AZ21" s="5">
        <v>30</v>
      </c>
      <c r="BA21" s="4"/>
      <c r="BB21" s="5">
        <v>40</v>
      </c>
      <c r="BC21" s="4"/>
      <c r="BD21" s="5">
        <v>50</v>
      </c>
      <c r="BE21" s="4"/>
      <c r="BF21" s="5">
        <v>60</v>
      </c>
      <c r="BH21">
        <f>BA22</f>
        <v>19530</v>
      </c>
      <c r="BV21" s="18">
        <f>Input!AB5</f>
        <v>10140</v>
      </c>
      <c r="BW21" s="18">
        <f>Input!AB15</f>
        <v>10241</v>
      </c>
      <c r="BY21" s="20">
        <f>Input!AB6</f>
        <v>10240</v>
      </c>
      <c r="BZ21" s="20">
        <f>Input!AB14</f>
        <v>10141</v>
      </c>
      <c r="CC21" s="18">
        <f>Input!AB14</f>
        <v>10141</v>
      </c>
      <c r="CD21" s="18">
        <f>Input!AB24</f>
        <v>20241</v>
      </c>
      <c r="CF21">
        <f>Input!AB15</f>
        <v>10241</v>
      </c>
      <c r="CG21" s="20">
        <f>Input!AB23</f>
        <v>20141</v>
      </c>
    </row>
    <row r="22" spans="5:85" x14ac:dyDescent="0.25">
      <c r="E22" s="13">
        <v>100</v>
      </c>
      <c r="F22" s="3"/>
      <c r="G22" s="17">
        <f>0.6*(A_11y/L_1y*interpiano)^2 - 1.6 * (A_11y/L_1y * interpiano) + 1</f>
        <v>1</v>
      </c>
      <c r="H22" s="3"/>
      <c r="I22" s="17">
        <f>0.6*(A_12y/L_1y*interpiano)^2 - 1.6 * (A_12y/L_1y * interpiano) + 1</f>
        <v>1</v>
      </c>
      <c r="J22" s="3"/>
      <c r="K22" s="17">
        <f>0.6*(A_13y/L_1y*interpiano)^2 - 1.6 * (A_13y/L_1y * interpiano) + 1</f>
        <v>1</v>
      </c>
      <c r="L22" s="3"/>
      <c r="M22" s="17">
        <f>0.6*(A_14y/L_1y*interpiano)^2 - 1.6 * (A_14y/L_1y * interpiano) + 1</f>
        <v>1</v>
      </c>
      <c r="N22" s="3"/>
      <c r="O22" s="17">
        <f>0.6*(A_15y/L_1y*interpiano)^2 - 1.6 * (A_15y/L_1y * interpiano) + 1</f>
        <v>1</v>
      </c>
      <c r="P22" s="7"/>
      <c r="S22" s="13">
        <v>100</v>
      </c>
      <c r="T22" s="3"/>
      <c r="U22" s="17">
        <f>0.6*(A_11y/L_1y*interpiano)^2 - 1.6 * (A_11y/L_1y * interpiano) + 1</f>
        <v>1</v>
      </c>
      <c r="V22" s="3"/>
      <c r="W22" s="17">
        <f>0.6*(A_12y/L_1y*interpiano)^2 - 1.6 * (A_12y/L_1y * interpiano) + 1</f>
        <v>1</v>
      </c>
      <c r="X22" s="3"/>
      <c r="Y22" s="17">
        <f>0.6*(A_13y/L_1y*interpiano)^2 - 1.6 * (A_13y/L_1y * interpiano) + 1</f>
        <v>1</v>
      </c>
      <c r="Z22" s="3"/>
      <c r="AA22" s="17">
        <f>0.6*(A_14y/L_1y*interpiano)^2 - 1.6 * (A_14y/L_1y * interpiano) + 1</f>
        <v>1</v>
      </c>
      <c r="AB22" s="3"/>
      <c r="AC22" s="17">
        <f>0.6*(A_15y/L_1y*interpiano)^2 - 1.6 * (A_15y/L_1y * interpiano) + 1</f>
        <v>1</v>
      </c>
      <c r="AD22" s="7"/>
      <c r="AG22" s="13">
        <v>100</v>
      </c>
      <c r="AH22" s="3"/>
      <c r="AI22" s="17">
        <f>0.175*G64*(U64*G83)^(-0.4)</f>
        <v>0.80047086999043482</v>
      </c>
      <c r="AJ22" s="3"/>
      <c r="AK22" s="17">
        <f t="shared" ref="AK22" si="14">0.175*I64*(W64*I83)^(-0.4)</f>
        <v>0.80047086999043482</v>
      </c>
      <c r="AL22" s="3"/>
      <c r="AM22" s="17">
        <f t="shared" ref="AM22" si="15">0.175*K64*(Y64*K83)^(-0.4)</f>
        <v>0.80047086999043482</v>
      </c>
      <c r="AN22" s="3"/>
      <c r="AO22" s="17">
        <f t="shared" ref="AO22" si="16">0.175*M64*(AA64*M83)^(-0.4)</f>
        <v>0.80047086999043482</v>
      </c>
      <c r="AP22" s="3"/>
      <c r="AQ22" s="17">
        <f t="shared" ref="AQ22" si="17">0.175*O64*(AC64*O83)^(-0.4)</f>
        <v>0.80047086999043482</v>
      </c>
      <c r="AR22" s="7"/>
      <c r="AU22" s="13">
        <v>100</v>
      </c>
      <c r="AV22" s="3"/>
      <c r="AW22" s="17">
        <v>19510</v>
      </c>
      <c r="AX22" s="3"/>
      <c r="AY22" s="17">
        <f>AW22+10</f>
        <v>19520</v>
      </c>
      <c r="AZ22" s="3"/>
      <c r="BA22" s="17">
        <f t="shared" ref="BA22" si="18">AY22+10</f>
        <v>19530</v>
      </c>
      <c r="BB22" s="3"/>
      <c r="BC22" s="17">
        <f t="shared" ref="BC22" si="19">BA22+10</f>
        <v>19540</v>
      </c>
      <c r="BD22" s="3"/>
      <c r="BE22" s="17">
        <f t="shared" ref="BE22" si="20">BC22+10</f>
        <v>19550</v>
      </c>
      <c r="BF22" s="3"/>
      <c r="BH22">
        <f>BC22</f>
        <v>19540</v>
      </c>
      <c r="BV22" s="18">
        <f>Input!AC5</f>
        <v>10150</v>
      </c>
      <c r="BW22" s="18">
        <f>Input!AC15</f>
        <v>10251</v>
      </c>
      <c r="BY22" s="20">
        <f>Input!AC6</f>
        <v>10250</v>
      </c>
      <c r="BZ22" s="20">
        <f>Input!AC14</f>
        <v>10151</v>
      </c>
      <c r="CC22" s="18">
        <f>Input!AC14</f>
        <v>10151</v>
      </c>
      <c r="CD22" s="18">
        <f>Input!AC24</f>
        <v>20251</v>
      </c>
      <c r="CF22">
        <f>Input!AC15</f>
        <v>10251</v>
      </c>
      <c r="CG22" s="20">
        <f>Input!AC23</f>
        <v>20151</v>
      </c>
    </row>
    <row r="23" spans="5:85" x14ac:dyDescent="0.25">
      <c r="E23" s="4"/>
      <c r="F23" s="11"/>
      <c r="G23" s="5"/>
      <c r="H23" s="11"/>
      <c r="I23" s="5"/>
      <c r="J23" s="11"/>
      <c r="K23" s="5"/>
      <c r="L23" s="11"/>
      <c r="M23" s="5"/>
      <c r="N23" s="11"/>
      <c r="O23" s="5"/>
      <c r="P23" s="10"/>
      <c r="S23" s="4"/>
      <c r="T23" s="11"/>
      <c r="U23" s="5"/>
      <c r="V23" s="11"/>
      <c r="W23" s="5"/>
      <c r="X23" s="11"/>
      <c r="Y23" s="5"/>
      <c r="Z23" s="11"/>
      <c r="AA23" s="5"/>
      <c r="AB23" s="11"/>
      <c r="AC23" s="5"/>
      <c r="AD23" s="10"/>
      <c r="AG23" s="4"/>
      <c r="AH23" s="11"/>
      <c r="AI23" s="5"/>
      <c r="AJ23" s="11"/>
      <c r="AK23" s="5"/>
      <c r="AL23" s="11"/>
      <c r="AM23" s="5"/>
      <c r="AN23" s="11"/>
      <c r="AO23" s="5"/>
      <c r="AP23" s="11"/>
      <c r="AQ23" s="5"/>
      <c r="AR23" s="10"/>
      <c r="AU23" s="4"/>
      <c r="AV23" s="11"/>
      <c r="AW23" s="5"/>
      <c r="AX23" s="11"/>
      <c r="AY23" s="5"/>
      <c r="AZ23" s="11"/>
      <c r="BA23" s="5"/>
      <c r="BB23" s="11"/>
      <c r="BC23" s="5"/>
      <c r="BD23" s="11"/>
      <c r="BE23" s="5"/>
      <c r="BF23" s="10"/>
      <c r="BH23">
        <f>BE22</f>
        <v>19550</v>
      </c>
      <c r="BV23" s="18">
        <f>Input!AD5</f>
        <v>10160</v>
      </c>
      <c r="BW23" s="18">
        <f>Input!AD15</f>
        <v>10261</v>
      </c>
      <c r="BY23" s="20">
        <f>Input!AD6</f>
        <v>10260</v>
      </c>
      <c r="BZ23" s="20">
        <f>Input!AD14</f>
        <v>10161</v>
      </c>
      <c r="CC23" s="18">
        <f>Input!AD14</f>
        <v>10161</v>
      </c>
      <c r="CD23" s="18">
        <f>Input!AD24</f>
        <v>20261</v>
      </c>
      <c r="CF23">
        <f>Input!AD15</f>
        <v>10261</v>
      </c>
      <c r="CG23" s="20">
        <f>Input!AD23</f>
        <v>20161</v>
      </c>
    </row>
    <row r="24" spans="5:85" x14ac:dyDescent="0.25">
      <c r="E24" s="14">
        <v>300</v>
      </c>
      <c r="F24" s="3"/>
      <c r="G24" s="17">
        <f>0.6*(A_31y/L_3y*interpiano)^2 - 1.6 * (A_31y/L_3y * interpiano) + 1</f>
        <v>1</v>
      </c>
      <c r="H24" s="3"/>
      <c r="I24" s="17">
        <f>0.6*(A_32y/L_3y*interpiano)^2 - 1.6 * (A_32y/L_3y * interpiano) + 1</f>
        <v>1</v>
      </c>
      <c r="J24" s="3"/>
      <c r="K24" s="17">
        <f>0.6*(A_33y/L_3y*interpiano)^2 - 1.6 * (A_33y/L_3y * interpiano) + 1</f>
        <v>1</v>
      </c>
      <c r="L24" s="3"/>
      <c r="M24" s="17">
        <f>0.6*(A_34y/L_3y*interpiano)^2 - 1.6 * (A_34y/L_3y * interpiano) + 1</f>
        <v>1</v>
      </c>
      <c r="N24" s="3"/>
      <c r="O24" s="17">
        <f>0.6*(A_35y/L_3y*interpiano)^2 - 1.6 * (A_35y/L_3y * interpiano) + 1</f>
        <v>1</v>
      </c>
      <c r="P24" s="7"/>
      <c r="S24" s="14">
        <v>300</v>
      </c>
      <c r="T24" s="3"/>
      <c r="U24" s="17">
        <f>0.6*(A_31y/L_3y*interpiano)^2 - 1.6 * (A_31y/L_3y * interpiano) + 1</f>
        <v>1</v>
      </c>
      <c r="V24" s="3"/>
      <c r="W24" s="17">
        <f>0.6*(A_32y/L_3y*interpiano)^2 - 1.6 * (A_32y/L_3y * interpiano) + 1</f>
        <v>1</v>
      </c>
      <c r="X24" s="3"/>
      <c r="Y24" s="17">
        <f>0.6*(A_33y/L_3y*interpiano)^2 - 1.6 * (A_33y/L_3y * interpiano) + 1</f>
        <v>1</v>
      </c>
      <c r="Z24" s="3"/>
      <c r="AA24" s="17">
        <f>0.6*(A_34y/L_3y*interpiano)^2 - 1.6 * (A_34y/L_3y * interpiano) + 1</f>
        <v>1</v>
      </c>
      <c r="AB24" s="3"/>
      <c r="AC24" s="17">
        <f>0.6*(A_35y/L_3y*interpiano)^2 - 1.6 * (A_35y/L_3y * interpiano) + 1</f>
        <v>1</v>
      </c>
      <c r="AD24" s="7"/>
      <c r="AG24" s="14">
        <v>300</v>
      </c>
      <c r="AH24" s="3"/>
      <c r="AI24" s="17">
        <f>0.175*G66*(U66*G85)^(-0.4)</f>
        <v>0.80047086999043482</v>
      </c>
      <c r="AJ24" s="3"/>
      <c r="AK24" s="17">
        <f t="shared" ref="AK24" si="21">0.175*I66*(W66*I85)^(-0.4)</f>
        <v>0.80047086999043482</v>
      </c>
      <c r="AL24" s="3"/>
      <c r="AM24" s="17">
        <f t="shared" ref="AM24" si="22">0.175*K66*(Y66*K85)^(-0.4)</f>
        <v>0.80047086999043482</v>
      </c>
      <c r="AN24" s="3"/>
      <c r="AO24" s="17">
        <f t="shared" ref="AO24" si="23">0.175*M66*(AA66*M85)^(-0.4)</f>
        <v>0.80047086999043482</v>
      </c>
      <c r="AP24" s="3"/>
      <c r="AQ24" s="17">
        <f t="shared" ref="AQ24" si="24">0.175*O66*(AC66*O85)^(-0.4)</f>
        <v>0.80047086999043482</v>
      </c>
      <c r="AR24" s="7"/>
      <c r="AU24" s="14">
        <v>300</v>
      </c>
      <c r="AV24" s="3"/>
      <c r="AW24" s="17">
        <f>AW22+100</f>
        <v>19610</v>
      </c>
      <c r="AX24" s="3"/>
      <c r="AY24" s="17">
        <f>AW24+10</f>
        <v>19620</v>
      </c>
      <c r="AZ24" s="3"/>
      <c r="BA24" s="17">
        <f t="shared" ref="BA24" si="25">AY24+10</f>
        <v>19630</v>
      </c>
      <c r="BB24" s="3"/>
      <c r="BC24" s="17">
        <f t="shared" ref="BC24" si="26">BA24+10</f>
        <v>19640</v>
      </c>
      <c r="BD24" s="3"/>
      <c r="BE24" s="17">
        <f t="shared" ref="BE24" si="27">BC24+10</f>
        <v>19650</v>
      </c>
      <c r="BF24" s="3"/>
      <c r="BH24">
        <f>AW24</f>
        <v>19610</v>
      </c>
      <c r="BV24" s="18">
        <f>Input!Z7</f>
        <v>10320</v>
      </c>
      <c r="BW24" s="18">
        <f>Input!Z17</f>
        <v>10421</v>
      </c>
      <c r="BY24" s="20">
        <f>Input!Z8</f>
        <v>10420</v>
      </c>
      <c r="BZ24" s="20">
        <f>Input!Z16</f>
        <v>10321</v>
      </c>
      <c r="CC24" s="18">
        <f>Input!Z16</f>
        <v>10321</v>
      </c>
      <c r="CD24" s="18">
        <f>Input!Z26</f>
        <v>20421</v>
      </c>
      <c r="CF24">
        <f>Input!Z17</f>
        <v>10421</v>
      </c>
      <c r="CG24">
        <f>Input!Z25</f>
        <v>20321</v>
      </c>
    </row>
    <row r="25" spans="5:85" x14ac:dyDescent="0.25">
      <c r="E25" s="10"/>
      <c r="F25" s="11"/>
      <c r="G25" s="10"/>
      <c r="H25" s="11"/>
      <c r="I25" s="10"/>
      <c r="J25" s="11"/>
      <c r="K25" s="10"/>
      <c r="L25" s="11"/>
      <c r="M25" s="10"/>
      <c r="N25" s="11"/>
      <c r="O25" s="10"/>
      <c r="P25" s="10"/>
      <c r="Q25" s="11"/>
      <c r="R25" s="11"/>
      <c r="AI25" s="5"/>
      <c r="AJ25" s="11"/>
      <c r="AK25" s="5"/>
      <c r="AL25" s="11"/>
      <c r="AM25" s="5"/>
      <c r="AN25" s="11"/>
      <c r="AO25" s="5"/>
      <c r="AP25" s="11"/>
      <c r="AQ25" s="5"/>
      <c r="AW25" s="5"/>
      <c r="AX25" s="11"/>
      <c r="AY25" s="5"/>
      <c r="AZ25" s="11"/>
      <c r="BA25" s="5"/>
      <c r="BB25" s="11"/>
      <c r="BC25" s="5"/>
      <c r="BD25" s="11"/>
      <c r="BE25" s="5"/>
      <c r="BH25">
        <f>AY24</f>
        <v>19620</v>
      </c>
      <c r="BV25" s="18">
        <f>Input!AA7</f>
        <v>10330</v>
      </c>
      <c r="BW25" s="18">
        <f>Input!AA17</f>
        <v>10431</v>
      </c>
      <c r="BY25" s="20">
        <f>Input!AA8</f>
        <v>10430</v>
      </c>
      <c r="BZ25" s="20">
        <f>Input!AA16</f>
        <v>10331</v>
      </c>
      <c r="CC25" s="18">
        <f>Input!AA16</f>
        <v>10331</v>
      </c>
      <c r="CD25" s="18">
        <f>Input!AA26</f>
        <v>20431</v>
      </c>
      <c r="CF25">
        <f>Input!AA17</f>
        <v>10431</v>
      </c>
      <c r="CG25">
        <f>Input!AA25</f>
        <v>20331</v>
      </c>
    </row>
    <row r="26" spans="5:85" x14ac:dyDescent="0.25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BH26">
        <f>BA24</f>
        <v>19630</v>
      </c>
      <c r="BV26" s="18">
        <f>Input!AB7</f>
        <v>10340</v>
      </c>
      <c r="BW26" s="18">
        <f>Input!AB17</f>
        <v>10441</v>
      </c>
      <c r="BY26" s="20">
        <f>Input!AB8</f>
        <v>10440</v>
      </c>
      <c r="BZ26" s="20">
        <f>Input!AB16</f>
        <v>10341</v>
      </c>
      <c r="CC26" s="18">
        <f>Input!AB16</f>
        <v>10341</v>
      </c>
      <c r="CD26" s="18">
        <f>Input!AB26</f>
        <v>20441</v>
      </c>
      <c r="CF26">
        <f>Input!AB17</f>
        <v>10441</v>
      </c>
      <c r="CG26">
        <f>Input!AB25</f>
        <v>20341</v>
      </c>
    </row>
    <row r="27" spans="5:85" x14ac:dyDescent="0.25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BH27">
        <f>BC24</f>
        <v>19640</v>
      </c>
      <c r="BP27" t="s">
        <v>44</v>
      </c>
      <c r="BV27" s="18">
        <f>Input!AC7</f>
        <v>10350</v>
      </c>
      <c r="BW27" s="18">
        <f>Input!AC17</f>
        <v>10451</v>
      </c>
      <c r="BY27" s="20">
        <f>Input!AC8</f>
        <v>10450</v>
      </c>
      <c r="BZ27" s="20">
        <f>Input!AC16</f>
        <v>10351</v>
      </c>
      <c r="CC27" s="18">
        <f>Input!AC16</f>
        <v>10351</v>
      </c>
      <c r="CD27" s="18">
        <f>Input!AC26</f>
        <v>20451</v>
      </c>
      <c r="CF27">
        <f>Input!AC17</f>
        <v>10451</v>
      </c>
      <c r="CG27">
        <f>Input!AC25</f>
        <v>20351</v>
      </c>
    </row>
    <row r="28" spans="5:85" x14ac:dyDescent="0.25">
      <c r="Q28" s="11"/>
      <c r="R28" s="11"/>
      <c r="AW28" s="20" t="s">
        <v>44</v>
      </c>
      <c r="BH28">
        <f>BE24</f>
        <v>19650</v>
      </c>
      <c r="BT28" s="19"/>
      <c r="BV28" s="18">
        <f>Input!AD7</f>
        <v>10360</v>
      </c>
      <c r="BW28" s="18">
        <f>Input!AD17</f>
        <v>10461</v>
      </c>
      <c r="BY28" s="20">
        <f>Input!AD8</f>
        <v>10460</v>
      </c>
      <c r="BZ28" s="20">
        <f>[1]Input!AD16</f>
        <v>10361</v>
      </c>
      <c r="CC28" s="18">
        <f>Input!AD16</f>
        <v>10361</v>
      </c>
      <c r="CD28" s="18">
        <f>Input!AD26</f>
        <v>20461</v>
      </c>
      <c r="CF28">
        <f>Input!AD17</f>
        <v>10461</v>
      </c>
      <c r="CG28">
        <f>Input!AD25</f>
        <v>20361</v>
      </c>
    </row>
    <row r="29" spans="5:85" ht="18.75" x14ac:dyDescent="0.35">
      <c r="E29" t="s">
        <v>23</v>
      </c>
      <c r="F29" t="s">
        <v>11</v>
      </c>
      <c r="G29" t="s">
        <v>18</v>
      </c>
      <c r="Q29" s="11"/>
      <c r="R29" s="11"/>
      <c r="S29" t="s">
        <v>25</v>
      </c>
      <c r="T29" t="s">
        <v>26</v>
      </c>
      <c r="U29" t="s">
        <v>18</v>
      </c>
    </row>
    <row r="30" spans="5:85" ht="18.75" x14ac:dyDescent="0.35">
      <c r="E30" s="4"/>
      <c r="F30" s="5">
        <v>10</v>
      </c>
      <c r="G30" s="4"/>
      <c r="H30" s="5">
        <v>20</v>
      </c>
      <c r="I30" s="4"/>
      <c r="J30" s="5">
        <v>30</v>
      </c>
      <c r="K30" s="4"/>
      <c r="L30" s="5">
        <v>40</v>
      </c>
      <c r="M30" s="4"/>
      <c r="N30" s="5">
        <v>50</v>
      </c>
      <c r="O30" s="4"/>
      <c r="P30" s="5">
        <v>60</v>
      </c>
      <c r="S30" s="4"/>
      <c r="T30" s="5">
        <v>10</v>
      </c>
      <c r="U30" s="4"/>
      <c r="V30" s="5">
        <v>20</v>
      </c>
      <c r="W30" s="4"/>
      <c r="X30" s="5">
        <v>30</v>
      </c>
      <c r="Y30" s="4"/>
      <c r="Z30" s="5">
        <v>40</v>
      </c>
      <c r="AA30" s="4"/>
      <c r="AB30" s="5">
        <v>50</v>
      </c>
      <c r="AC30" s="4"/>
      <c r="AD30" s="5">
        <v>60</v>
      </c>
      <c r="AG30" t="s">
        <v>28</v>
      </c>
      <c r="AH30" t="s">
        <v>11</v>
      </c>
      <c r="AI30" t="s">
        <v>18</v>
      </c>
      <c r="AV30">
        <f>AI34</f>
        <v>1.4800000000000001E-2</v>
      </c>
      <c r="AW30">
        <v>101</v>
      </c>
      <c r="AX30">
        <v>1.4800000000000001E-2</v>
      </c>
      <c r="BB30" s="20" t="s">
        <v>43</v>
      </c>
      <c r="BC30" t="s">
        <v>11</v>
      </c>
      <c r="BD30" t="s">
        <v>18</v>
      </c>
      <c r="BP30">
        <f t="shared" ref="BP30" si="28">BD34</f>
        <v>101</v>
      </c>
    </row>
    <row r="31" spans="5:85" x14ac:dyDescent="0.25">
      <c r="E31" s="13">
        <v>100</v>
      </c>
      <c r="F31" s="3"/>
      <c r="G31" s="6" t="s">
        <v>12</v>
      </c>
      <c r="H31" s="3"/>
      <c r="I31" s="6" t="s">
        <v>12</v>
      </c>
      <c r="J31" s="3"/>
      <c r="K31" s="6" t="s">
        <v>12</v>
      </c>
      <c r="L31" s="3"/>
      <c r="M31" s="6" t="s">
        <v>12</v>
      </c>
      <c r="N31" s="3"/>
      <c r="O31" s="6" t="s">
        <v>12</v>
      </c>
      <c r="P31" s="7"/>
      <c r="S31" s="13">
        <v>100</v>
      </c>
      <c r="T31" s="3"/>
      <c r="U31" s="6" t="s">
        <v>12</v>
      </c>
      <c r="V31" s="3"/>
      <c r="W31" s="6" t="s">
        <v>12</v>
      </c>
      <c r="X31" s="3"/>
      <c r="Y31" s="6" t="s">
        <v>12</v>
      </c>
      <c r="Z31" s="3"/>
      <c r="AA31" s="6" t="s">
        <v>12</v>
      </c>
      <c r="AB31" s="3"/>
      <c r="AC31" s="6" t="s">
        <v>12</v>
      </c>
      <c r="AD31" s="7"/>
      <c r="AG31" s="4"/>
      <c r="AH31" s="5">
        <v>10</v>
      </c>
      <c r="AI31" s="4"/>
      <c r="AJ31" s="5">
        <v>20</v>
      </c>
      <c r="AK31" s="4"/>
      <c r="AL31" s="5">
        <v>30</v>
      </c>
      <c r="AM31" s="4"/>
      <c r="AN31" s="5">
        <v>40</v>
      </c>
      <c r="AO31" s="4"/>
      <c r="AP31" s="5">
        <v>50</v>
      </c>
      <c r="AQ31" s="4"/>
      <c r="AR31" s="5">
        <v>60</v>
      </c>
      <c r="AV31">
        <f>AK34</f>
        <v>0.40350000000000003</v>
      </c>
      <c r="AW31">
        <v>102</v>
      </c>
      <c r="AX31">
        <v>0.40350000000000003</v>
      </c>
      <c r="BB31" s="4"/>
      <c r="BC31" s="5">
        <v>10</v>
      </c>
      <c r="BD31" s="4"/>
      <c r="BE31" s="5">
        <v>20</v>
      </c>
      <c r="BF31" s="4"/>
      <c r="BG31" s="5">
        <v>30</v>
      </c>
      <c r="BH31" s="4"/>
      <c r="BI31" s="5">
        <v>40</v>
      </c>
      <c r="BJ31" s="4"/>
      <c r="BK31" s="5">
        <v>50</v>
      </c>
      <c r="BL31" s="4"/>
      <c r="BM31" s="5">
        <v>60</v>
      </c>
      <c r="BP31">
        <f>BF34</f>
        <v>102</v>
      </c>
    </row>
    <row r="32" spans="5:85" x14ac:dyDescent="0.25">
      <c r="E32" s="4"/>
      <c r="F32" s="11"/>
      <c r="G32" s="5"/>
      <c r="H32" s="11"/>
      <c r="I32" s="5"/>
      <c r="J32" s="11"/>
      <c r="K32" s="5"/>
      <c r="L32" s="11"/>
      <c r="M32" s="5"/>
      <c r="N32" s="11"/>
      <c r="O32" s="5"/>
      <c r="P32" s="10"/>
      <c r="S32" s="4"/>
      <c r="T32" s="11"/>
      <c r="U32" s="5"/>
      <c r="V32" s="11"/>
      <c r="W32" s="5"/>
      <c r="X32" s="11"/>
      <c r="Y32" s="5"/>
      <c r="Z32" s="11"/>
      <c r="AA32" s="5"/>
      <c r="AB32" s="11"/>
      <c r="AC32" s="5"/>
      <c r="AD32" s="10"/>
      <c r="AG32" s="13">
        <v>100</v>
      </c>
      <c r="AH32" s="3"/>
      <c r="AI32" s="6" t="s">
        <v>12</v>
      </c>
      <c r="AJ32" s="3"/>
      <c r="AK32" s="6" t="s">
        <v>12</v>
      </c>
      <c r="AL32" s="3"/>
      <c r="AM32" s="6" t="s">
        <v>12</v>
      </c>
      <c r="AN32" s="3"/>
      <c r="AO32" s="6" t="s">
        <v>12</v>
      </c>
      <c r="AP32" s="3"/>
      <c r="AQ32" s="6" t="s">
        <v>12</v>
      </c>
      <c r="AR32" s="7"/>
      <c r="AV32">
        <f>AM34</f>
        <v>0.40350000000000003</v>
      </c>
      <c r="AW32">
        <v>103</v>
      </c>
      <c r="AX32">
        <v>0.80049999999999999</v>
      </c>
      <c r="BB32" s="13">
        <v>100</v>
      </c>
      <c r="BC32" s="3"/>
      <c r="BD32" s="6" t="s">
        <v>12</v>
      </c>
      <c r="BE32" s="3"/>
      <c r="BF32" s="6" t="s">
        <v>12</v>
      </c>
      <c r="BG32" s="3"/>
      <c r="BH32" s="6" t="s">
        <v>12</v>
      </c>
      <c r="BI32" s="3"/>
      <c r="BJ32" s="6" t="s">
        <v>12</v>
      </c>
      <c r="BK32" s="3"/>
      <c r="BL32" s="6" t="s">
        <v>12</v>
      </c>
      <c r="BM32" s="7"/>
      <c r="BP32">
        <f>BH34</f>
        <v>102</v>
      </c>
    </row>
    <row r="33" spans="5:68" x14ac:dyDescent="0.25">
      <c r="E33" s="14">
        <v>200</v>
      </c>
      <c r="F33" s="3"/>
      <c r="G33" s="17">
        <f xml:space="preserve"> DEGREES( ATAN(interpiano/L_1x))</f>
        <v>61.448608127039812</v>
      </c>
      <c r="H33" s="3"/>
      <c r="I33" s="17">
        <f xml:space="preserve"> DEGREES( ATAN(interpiano/L_2x))</f>
        <v>25.906507999514385</v>
      </c>
      <c r="J33" s="3"/>
      <c r="K33" s="17">
        <f xml:space="preserve"> DEGREES( ATAN(interpiano/L_3x))</f>
        <v>25.906507999514385</v>
      </c>
      <c r="L33" s="3"/>
      <c r="M33" s="17">
        <f xml:space="preserve"> DEGREES( ATAN(interpiano/L_4x))</f>
        <v>25.906507999514385</v>
      </c>
      <c r="N33" s="3"/>
      <c r="O33" s="17">
        <f xml:space="preserve"> DEGREES( ATAN(interpiano/L_5x))</f>
        <v>25.906507999514385</v>
      </c>
      <c r="P33" s="7"/>
      <c r="S33" s="14">
        <v>200</v>
      </c>
      <c r="T33" s="3"/>
      <c r="U33" s="17">
        <f>0.25*0.4^3/12</f>
        <v>1.3333333333333337E-3</v>
      </c>
      <c r="V33" s="3"/>
      <c r="W33" s="17">
        <f>U33</f>
        <v>1.3333333333333337E-3</v>
      </c>
      <c r="X33" s="3"/>
      <c r="Y33" s="17">
        <f>U33</f>
        <v>1.3333333333333337E-3</v>
      </c>
      <c r="Z33" s="3"/>
      <c r="AA33" s="17">
        <f>U33</f>
        <v>1.3333333333333337E-3</v>
      </c>
      <c r="AB33" s="3"/>
      <c r="AC33" s="17">
        <f>U33</f>
        <v>1.3333333333333337E-3</v>
      </c>
      <c r="AD33" s="7"/>
      <c r="AG33" s="4"/>
      <c r="AH33" s="11"/>
      <c r="AI33" s="5"/>
      <c r="AJ33" s="11"/>
      <c r="AK33" s="5"/>
      <c r="AL33" s="11"/>
      <c r="AM33" s="5"/>
      <c r="AN33" s="11"/>
      <c r="AO33" s="5"/>
      <c r="AP33" s="11"/>
      <c r="AQ33" s="5"/>
      <c r="AR33" s="10"/>
      <c r="AV33">
        <f>AO34</f>
        <v>0.40350000000000003</v>
      </c>
      <c r="AW33">
        <v>104</v>
      </c>
      <c r="BB33" s="4"/>
      <c r="BC33" s="11"/>
      <c r="BD33" s="5"/>
      <c r="BE33" s="11"/>
      <c r="BF33" s="5"/>
      <c r="BG33" s="11"/>
      <c r="BH33" s="5"/>
      <c r="BI33" s="11"/>
      <c r="BJ33" s="5"/>
      <c r="BK33" s="11"/>
      <c r="BL33" s="5"/>
      <c r="BM33" s="10"/>
      <c r="BP33">
        <f>BJ34</f>
        <v>102</v>
      </c>
    </row>
    <row r="34" spans="5:68" x14ac:dyDescent="0.25">
      <c r="E34" s="4"/>
      <c r="F34" s="11"/>
      <c r="G34" s="5"/>
      <c r="H34" s="11"/>
      <c r="I34" s="5"/>
      <c r="J34" s="11"/>
      <c r="K34" s="5"/>
      <c r="L34" s="11"/>
      <c r="M34" s="5"/>
      <c r="N34" s="11"/>
      <c r="O34" s="5"/>
      <c r="P34" s="10"/>
      <c r="S34" s="4"/>
      <c r="T34" s="11"/>
      <c r="U34" s="5"/>
      <c r="V34" s="11"/>
      <c r="W34" s="5"/>
      <c r="X34" s="11"/>
      <c r="Y34" s="5"/>
      <c r="Z34" s="11"/>
      <c r="AA34" s="5"/>
      <c r="AB34" s="11"/>
      <c r="AC34" s="5"/>
      <c r="AD34" s="10"/>
      <c r="AG34" s="14">
        <v>200</v>
      </c>
      <c r="AH34" s="3"/>
      <c r="AI34" s="17">
        <f>ROUND(AI13*G13*U13,4)</f>
        <v>1.4800000000000001E-2</v>
      </c>
      <c r="AJ34" s="3"/>
      <c r="AK34" s="17">
        <f t="shared" ref="AK34" si="29">ROUND(AK13*I13*W13,4)</f>
        <v>0.40350000000000003</v>
      </c>
      <c r="AL34" s="3"/>
      <c r="AM34" s="17">
        <f t="shared" ref="AM34" si="30">ROUND(AM13*K13*Y13,4)</f>
        <v>0.40350000000000003</v>
      </c>
      <c r="AN34" s="3"/>
      <c r="AO34" s="17">
        <f t="shared" ref="AO34" si="31">ROUND(AO13*M13*AA13,4)</f>
        <v>0.40350000000000003</v>
      </c>
      <c r="AP34" s="3"/>
      <c r="AQ34" s="17">
        <f t="shared" ref="AQ34" si="32">ROUND(AQ13*O13*AC13,4)</f>
        <v>0.40350000000000003</v>
      </c>
      <c r="AR34" s="7"/>
      <c r="AV34">
        <f>AQ34</f>
        <v>0.40350000000000003</v>
      </c>
      <c r="AW34">
        <v>105</v>
      </c>
      <c r="BB34" s="14">
        <v>200</v>
      </c>
      <c r="BC34" s="3"/>
      <c r="BD34" s="17">
        <f>IF(AI34=$AX$30,$AW$30, IF(AI34=$AX$31,$AW$31, IF(AI34=$AX$32,$AW$32, IF(AI34=$AX$33,$AW$33, IF(AI34=$AX$34,$AW$34, IF(AI34=$AX$35,$AW$35, IF(AI34=$AX$36,$AW$36, IF(AI34=$AX$37,$AW$37, IF(AI34=$AX$38,$AW$38, IF(AI34=$AX$39,$AW$39, IF(AI34=$AX$40,$AW$40, IF(AI34=$AX$41,$AW$41, IF(AI34=$AX$42,$AW$42, IF(AI34=$AX$43,$AW$43, IF(AI34=$AX$44,$AW$44, IF(AI34=$AX$45,$AW$45, IF(AI34=$AX$46,$AW$46, IF(AI34=$AX$47,$AW$47, IF(AI34=$AX$48,$AW$48, IF(AI34=$AX$49,$AW$49,FALSE))))))))))))))))))))</f>
        <v>101</v>
      </c>
      <c r="BE34" s="3"/>
      <c r="BF34" s="17">
        <f t="shared" ref="BF34" si="33">IF(AK34=$AX$30,$AW$30, IF(AK34=$AX$31,$AW$31, IF(AK34=$AX$32,$AW$32, IF(AK34=$AX$33,$AW$33, IF(AK34=$AX$34,$AW$34, IF(AK34=$AX$35,$AW$35, IF(AK34=$AX$36,$AW$36, IF(AK34=$AX$37,$AW$37, IF(AK34=$AX$38,$AW$38, IF(AK34=$AX$39,$AW$39, IF(AK34=$AX$40,$AW$40, IF(AK34=$AX$41,$AW$41, IF(AK34=$AX$42,$AW$42, IF(AK34=$AX$43,$AW$43, IF(AK34=$AX$44,$AW$44, IF(AK34=$AX$45,$AW$45, IF(AK34=$AX$46,$AW$46, IF(AK34=$AX$47,$AW$47, IF(AK34=$AX$48,$AW$48, IF(AK34=$AX$49,$AW$49,FALSE))))))))))))))))))))</f>
        <v>102</v>
      </c>
      <c r="BG34" s="3"/>
      <c r="BH34" s="17">
        <f t="shared" ref="BH34" si="34">IF(AM34=$AX$30,$AW$30, IF(AM34=$AX$31,$AW$31, IF(AM34=$AX$32,$AW$32, IF(AM34=$AX$33,$AW$33, IF(AM34=$AX$34,$AW$34, IF(AM34=$AX$35,$AW$35, IF(AM34=$AX$36,$AW$36, IF(AM34=$AX$37,$AW$37, IF(AM34=$AX$38,$AW$38, IF(AM34=$AX$39,$AW$39, IF(AM34=$AX$40,$AW$40, IF(AM34=$AX$41,$AW$41, IF(AM34=$AX$42,$AW$42, IF(AM34=$AX$43,$AW$43, IF(AM34=$AX$44,$AW$44, IF(AM34=$AX$45,$AW$45, IF(AM34=$AX$46,$AW$46, IF(AM34=$AX$47,$AW$47, IF(AM34=$AX$48,$AW$48, IF(AM34=$AX$49,$AW$49,FALSE))))))))))))))))))))</f>
        <v>102</v>
      </c>
      <c r="BI34" s="3"/>
      <c r="BJ34" s="17">
        <f t="shared" ref="BJ34" si="35">IF(AO34=$AX$30,$AW$30, IF(AO34=$AX$31,$AW$31, IF(AO34=$AX$32,$AW$32, IF(AO34=$AX$33,$AW$33, IF(AO34=$AX$34,$AW$34, IF(AO34=$AX$35,$AW$35, IF(AO34=$AX$36,$AW$36, IF(AO34=$AX$37,$AW$37, IF(AO34=$AX$38,$AW$38, IF(AO34=$AX$39,$AW$39, IF(AO34=$AX$40,$AW$40, IF(AO34=$AX$41,$AW$41, IF(AO34=$AX$42,$AW$42, IF(AO34=$AX$43,$AW$43, IF(AO34=$AX$44,$AW$44, IF(AO34=$AX$45,$AW$45, IF(AO34=$AX$46,$AW$46, IF(AO34=$AX$47,$AW$47, IF(AO34=$AX$48,$AW$48, IF(AO34=$AX$49,$AW$49,FALSE))))))))))))))))))))</f>
        <v>102</v>
      </c>
      <c r="BK34" s="3"/>
      <c r="BL34" s="17">
        <f t="shared" ref="BL34" si="36">IF(AQ34=$AX$30,$AW$30, IF(AQ34=$AX$31,$AW$31, IF(AQ34=$AX$32,$AW$32, IF(AQ34=$AX$33,$AW$33, IF(AQ34=$AX$34,$AW$34, IF(AQ34=$AX$35,$AW$35, IF(AQ34=$AX$36,$AW$36, IF(AQ34=$AX$37,$AW$37, IF(AQ34=$AX$38,$AW$38, IF(AQ34=$AX$39,$AW$39, IF(AQ34=$AX$40,$AW$40, IF(AQ34=$AX$41,$AW$41, IF(AQ34=$AX$42,$AW$42, IF(AQ34=$AX$43,$AW$43, IF(AQ34=$AX$44,$AW$44, IF(AQ34=$AX$45,$AW$45, IF(AQ34=$AX$46,$AW$46, IF(AQ34=$AX$47,$AW$47, IF(AQ34=$AX$48,$AW$48, IF(AQ34=$AX$49,$AW$49,FALSE))))))))))))))))))))</f>
        <v>102</v>
      </c>
      <c r="BM34" s="3"/>
      <c r="BP34">
        <f>BL34</f>
        <v>102</v>
      </c>
    </row>
    <row r="35" spans="5:68" x14ac:dyDescent="0.25">
      <c r="E35" s="14">
        <v>300</v>
      </c>
      <c r="F35" s="3"/>
      <c r="G35" s="17">
        <f xml:space="preserve"> DEGREES( ATAN(interpiano/L_1x))</f>
        <v>61.448608127039812</v>
      </c>
      <c r="H35" s="3"/>
      <c r="I35" s="17">
        <f xml:space="preserve"> DEGREES( ATAN(interpiano/L_2x))</f>
        <v>25.906507999514385</v>
      </c>
      <c r="J35" s="3"/>
      <c r="K35" s="17">
        <f xml:space="preserve"> DEGREES( ATAN(interpiano/L_3x))</f>
        <v>25.906507999514385</v>
      </c>
      <c r="L35" s="3"/>
      <c r="M35" s="17">
        <f xml:space="preserve"> DEGREES( ATAN(interpiano/L_4x))</f>
        <v>25.906507999514385</v>
      </c>
      <c r="N35" s="3"/>
      <c r="O35" s="17">
        <f xml:space="preserve"> DEGREES( ATAN(interpiano/L_5x))</f>
        <v>25.906507999514385</v>
      </c>
      <c r="P35" s="7"/>
      <c r="S35" s="14">
        <v>300</v>
      </c>
      <c r="T35" s="3"/>
      <c r="U35" s="17">
        <f>U33</f>
        <v>1.3333333333333337E-3</v>
      </c>
      <c r="V35" s="3"/>
      <c r="W35" s="17">
        <f>U33</f>
        <v>1.3333333333333337E-3</v>
      </c>
      <c r="X35" s="3"/>
      <c r="Y35" s="17">
        <f>U33</f>
        <v>1.3333333333333337E-3</v>
      </c>
      <c r="Z35" s="3"/>
      <c r="AA35" s="17">
        <f>U33</f>
        <v>1.3333333333333337E-3</v>
      </c>
      <c r="AB35" s="3"/>
      <c r="AC35" s="17">
        <f>U33</f>
        <v>1.3333333333333337E-3</v>
      </c>
      <c r="AD35" s="7"/>
      <c r="AG35" s="4"/>
      <c r="AH35" s="11"/>
      <c r="AI35" s="5"/>
      <c r="AJ35" s="11"/>
      <c r="AK35" s="5"/>
      <c r="AL35" s="11"/>
      <c r="AM35" s="5"/>
      <c r="AN35" s="11"/>
      <c r="AO35" s="5"/>
      <c r="AP35" s="11"/>
      <c r="AQ35" s="5"/>
      <c r="AR35" s="10"/>
      <c r="AV35">
        <f>AI36</f>
        <v>1.4800000000000001E-2</v>
      </c>
      <c r="AW35">
        <v>106</v>
      </c>
      <c r="BB35" s="4"/>
      <c r="BC35" s="11"/>
      <c r="BD35" s="5"/>
      <c r="BE35" s="11"/>
      <c r="BF35" s="5"/>
      <c r="BG35" s="11"/>
      <c r="BH35" s="5"/>
      <c r="BI35" s="11"/>
      <c r="BJ35" s="5"/>
      <c r="BK35" s="11"/>
      <c r="BL35" s="5"/>
      <c r="BM35" s="11"/>
      <c r="BP35">
        <f>BD36</f>
        <v>101</v>
      </c>
    </row>
    <row r="36" spans="5:68" x14ac:dyDescent="0.25">
      <c r="E36" s="4"/>
      <c r="F36" s="11"/>
      <c r="G36" s="5"/>
      <c r="H36" s="11"/>
      <c r="I36" s="5"/>
      <c r="J36" s="11"/>
      <c r="K36" s="5"/>
      <c r="L36" s="11"/>
      <c r="M36" s="5"/>
      <c r="N36" s="11"/>
      <c r="O36" s="5"/>
      <c r="P36" s="10"/>
      <c r="S36" s="4"/>
      <c r="T36" s="11"/>
      <c r="U36" s="5"/>
      <c r="V36" s="11"/>
      <c r="W36" s="5"/>
      <c r="X36" s="11"/>
      <c r="Y36" s="5"/>
      <c r="Z36" s="11"/>
      <c r="AA36" s="5"/>
      <c r="AB36" s="11"/>
      <c r="AC36" s="5"/>
      <c r="AD36" s="10"/>
      <c r="AG36" s="14">
        <v>300</v>
      </c>
      <c r="AH36" s="3"/>
      <c r="AI36" s="17">
        <f>ROUND(AI15*G15*U15,4)</f>
        <v>1.4800000000000001E-2</v>
      </c>
      <c r="AJ36" s="3"/>
      <c r="AK36" s="17">
        <f t="shared" ref="AK36" si="37">ROUND(AK15*I15*W15,4)</f>
        <v>0.40350000000000003</v>
      </c>
      <c r="AL36" s="3"/>
      <c r="AM36" s="17">
        <f t="shared" ref="AM36" si="38">ROUND(AM15*K15*Y15,4)</f>
        <v>0.40350000000000003</v>
      </c>
      <c r="AN36" s="3"/>
      <c r="AO36" s="17">
        <f t="shared" ref="AO36" si="39">ROUND(AO15*M15*AA15,4)</f>
        <v>0.40350000000000003</v>
      </c>
      <c r="AP36" s="3"/>
      <c r="AQ36" s="17">
        <f t="shared" ref="AQ36" si="40">ROUND(AQ15*O15*AC15,4)</f>
        <v>0.40350000000000003</v>
      </c>
      <c r="AR36" s="7"/>
      <c r="AV36">
        <f>AK36</f>
        <v>0.40350000000000003</v>
      </c>
      <c r="AW36">
        <v>107</v>
      </c>
      <c r="BB36" s="14">
        <v>300</v>
      </c>
      <c r="BC36" s="3"/>
      <c r="BD36" s="17">
        <f>IF(AI36=$AX$30,$AW$30, IF(AI36=$AX$31,$AW$31, IF(AI36=$AX$32,$AW$32, IF(AI36=$AX$33,$AW$33, IF(AI36=$AX$34,$AW$34, IF(AI36=$AX$35,$AW$35, IF(AI36=$AX$36,$AW$36, IF(AI36=$AX$37,$AW$37, IF(AI36=$AX$38,$AW$38, IF(AI36=$AX$39,$AW$39, IF(AI36=$AX$40,$AW$40, IF(AI36=$AX$41,$AW$41, IF(AI36=$AX$42,$AW$42, IF(AI36=$AX$43,$AW$43, IF(AI36=$AX$44,$AW$44, IF(AI36=$AX$45,$AW$45, IF(AI36=$AX$46,$AW$46, IF(AI36=$AX$47,$AW$47, IF(AI36=$AX$48,$AW$48, IF(AI36=$AX$49,$AW$49,FALSE))))))))))))))))))))</f>
        <v>101</v>
      </c>
      <c r="BE36" s="3"/>
      <c r="BF36" s="17">
        <f t="shared" ref="BF36" si="41">IF(AK36=$AX$30,$AW$30, IF(AK36=$AX$31,$AW$31, IF(AK36=$AX$32,$AW$32, IF(AK36=$AX$33,$AW$33, IF(AK36=$AX$34,$AW$34, IF(AK36=$AX$35,$AW$35, IF(AK36=$AX$36,$AW$36, IF(AK36=$AX$37,$AW$37, IF(AK36=$AX$38,$AW$38, IF(AK36=$AX$39,$AW$39, IF(AK36=$AX$40,$AW$40, IF(AK36=$AX$41,$AW$41, IF(AK36=$AX$42,$AW$42, IF(AK36=$AX$43,$AW$43, IF(AK36=$AX$44,$AW$44, IF(AK36=$AX$45,$AW$45, IF(AK36=$AX$46,$AW$46, IF(AK36=$AX$47,$AW$47, IF(AK36=$AX$48,$AW$48, IF(AK36=$AX$49,$AW$49,FALSE))))))))))))))))))))</f>
        <v>102</v>
      </c>
      <c r="BG36" s="3"/>
      <c r="BH36" s="17">
        <f t="shared" ref="BH36" si="42">IF(AM36=$AX$30,$AW$30, IF(AM36=$AX$31,$AW$31, IF(AM36=$AX$32,$AW$32, IF(AM36=$AX$33,$AW$33, IF(AM36=$AX$34,$AW$34, IF(AM36=$AX$35,$AW$35, IF(AM36=$AX$36,$AW$36, IF(AM36=$AX$37,$AW$37, IF(AM36=$AX$38,$AW$38, IF(AM36=$AX$39,$AW$39, IF(AM36=$AX$40,$AW$40, IF(AM36=$AX$41,$AW$41, IF(AM36=$AX$42,$AW$42, IF(AM36=$AX$43,$AW$43, IF(AM36=$AX$44,$AW$44, IF(AM36=$AX$45,$AW$45, IF(AM36=$AX$46,$AW$46, IF(AM36=$AX$47,$AW$47, IF(AM36=$AX$48,$AW$48, IF(AM36=$AX$49,$AW$49,FALSE))))))))))))))))))))</f>
        <v>102</v>
      </c>
      <c r="BI36" s="3"/>
      <c r="BJ36" s="17">
        <f t="shared" ref="BJ36" si="43">IF(AO36=$AX$30,$AW$30, IF(AO36=$AX$31,$AW$31, IF(AO36=$AX$32,$AW$32, IF(AO36=$AX$33,$AW$33, IF(AO36=$AX$34,$AW$34, IF(AO36=$AX$35,$AW$35, IF(AO36=$AX$36,$AW$36, IF(AO36=$AX$37,$AW$37, IF(AO36=$AX$38,$AW$38, IF(AO36=$AX$39,$AW$39, IF(AO36=$AX$40,$AW$40, IF(AO36=$AX$41,$AW$41, IF(AO36=$AX$42,$AW$42, IF(AO36=$AX$43,$AW$43, IF(AO36=$AX$44,$AW$44, IF(AO36=$AX$45,$AW$45, IF(AO36=$AX$46,$AW$46, IF(AO36=$AX$47,$AW$47, IF(AO36=$AX$48,$AW$48, IF(AO36=$AX$49,$AW$49,FALSE))))))))))))))))))))</f>
        <v>102</v>
      </c>
      <c r="BK36" s="3"/>
      <c r="BL36" s="17">
        <f t="shared" ref="BL36" si="44">IF(AQ36=$AX$30,$AW$30, IF(AQ36=$AX$31,$AW$31, IF(AQ36=$AX$32,$AW$32, IF(AQ36=$AX$33,$AW$33, IF(AQ36=$AX$34,$AW$34, IF(AQ36=$AX$35,$AW$35, IF(AQ36=$AX$36,$AW$36, IF(AQ36=$AX$37,$AW$37, IF(AQ36=$AX$38,$AW$38, IF(AQ36=$AX$39,$AW$39, IF(AQ36=$AX$40,$AW$40, IF(AQ36=$AX$41,$AW$41, IF(AQ36=$AX$42,$AW$42, IF(AQ36=$AX$43,$AW$43, IF(AQ36=$AX$44,$AW$44, IF(AQ36=$AX$45,$AW$45, IF(AQ36=$AX$46,$AW$46, IF(AQ36=$AX$47,$AW$47, IF(AQ36=$AX$48,$AW$48, IF(AQ36=$AX$49,$AW$49,FALSE))))))))))))))))))))</f>
        <v>102</v>
      </c>
      <c r="BM36" s="3"/>
      <c r="BP36">
        <f>BF36</f>
        <v>102</v>
      </c>
    </row>
    <row r="37" spans="5:68" x14ac:dyDescent="0.25">
      <c r="E37" s="14">
        <v>400</v>
      </c>
      <c r="F37" s="3"/>
      <c r="G37" s="6" t="s">
        <v>12</v>
      </c>
      <c r="H37" s="3"/>
      <c r="I37" s="6" t="s">
        <v>12</v>
      </c>
      <c r="J37" s="3"/>
      <c r="K37" s="6" t="s">
        <v>12</v>
      </c>
      <c r="L37" s="3"/>
      <c r="M37" s="6" t="s">
        <v>12</v>
      </c>
      <c r="N37" s="3"/>
      <c r="O37" s="6" t="s">
        <v>12</v>
      </c>
      <c r="P37" s="7"/>
      <c r="S37" s="14">
        <v>400</v>
      </c>
      <c r="T37" s="3"/>
      <c r="U37" s="6" t="s">
        <v>12</v>
      </c>
      <c r="V37" s="3"/>
      <c r="W37" s="6" t="s">
        <v>12</v>
      </c>
      <c r="X37" s="3"/>
      <c r="Y37" s="6" t="s">
        <v>12</v>
      </c>
      <c r="Z37" s="3"/>
      <c r="AA37" s="6" t="s">
        <v>12</v>
      </c>
      <c r="AB37" s="3"/>
      <c r="AC37" s="6" t="s">
        <v>12</v>
      </c>
      <c r="AD37" s="7"/>
      <c r="AG37" s="4"/>
      <c r="AH37" s="11"/>
      <c r="AI37" s="5"/>
      <c r="AJ37" s="11"/>
      <c r="AK37" s="5"/>
      <c r="AL37" s="11"/>
      <c r="AM37" s="5"/>
      <c r="AN37" s="11"/>
      <c r="AO37" s="5"/>
      <c r="AP37" s="11"/>
      <c r="AQ37" s="5"/>
      <c r="AR37" s="10"/>
      <c r="AV37">
        <f>AM36</f>
        <v>0.40350000000000003</v>
      </c>
      <c r="AW37">
        <v>108</v>
      </c>
      <c r="BB37" s="4"/>
      <c r="BC37" s="11"/>
      <c r="BD37" s="5"/>
      <c r="BE37" s="11"/>
      <c r="BF37" s="5"/>
      <c r="BG37" s="11"/>
      <c r="BH37" s="5"/>
      <c r="BI37" s="11"/>
      <c r="BJ37" s="5"/>
      <c r="BK37" s="11"/>
      <c r="BL37" s="5"/>
      <c r="BM37" s="11"/>
      <c r="BP37">
        <f>BH36</f>
        <v>102</v>
      </c>
    </row>
    <row r="38" spans="5:68" x14ac:dyDescent="0.25">
      <c r="AG38" s="14">
        <v>400</v>
      </c>
      <c r="AH38" s="3"/>
      <c r="AI38" s="6" t="s">
        <v>12</v>
      </c>
      <c r="AJ38" s="3"/>
      <c r="AK38" s="6" t="s">
        <v>12</v>
      </c>
      <c r="AL38" s="3"/>
      <c r="AM38" s="6" t="s">
        <v>12</v>
      </c>
      <c r="AN38" s="3"/>
      <c r="AO38" s="6" t="s">
        <v>12</v>
      </c>
      <c r="AP38" s="3"/>
      <c r="AQ38" s="6" t="s">
        <v>12</v>
      </c>
      <c r="AR38" s="7"/>
      <c r="AV38">
        <f>AO36</f>
        <v>0.40350000000000003</v>
      </c>
      <c r="AW38">
        <v>109</v>
      </c>
      <c r="BB38" s="14">
        <v>400</v>
      </c>
      <c r="BC38" s="3"/>
      <c r="BD38" s="6" t="s">
        <v>12</v>
      </c>
      <c r="BE38" s="3"/>
      <c r="BF38" s="6" t="s">
        <v>12</v>
      </c>
      <c r="BG38" s="3"/>
      <c r="BH38" s="6" t="s">
        <v>12</v>
      </c>
      <c r="BI38" s="3"/>
      <c r="BJ38" s="6" t="s">
        <v>12</v>
      </c>
      <c r="BK38" s="3"/>
      <c r="BL38" s="6" t="s">
        <v>12</v>
      </c>
      <c r="BM38" s="7"/>
      <c r="BP38">
        <f>BJ36</f>
        <v>102</v>
      </c>
    </row>
    <row r="39" spans="5:68" x14ac:dyDescent="0.25">
      <c r="AV39">
        <f>AQ36</f>
        <v>0.40350000000000003</v>
      </c>
      <c r="AW39">
        <v>110</v>
      </c>
      <c r="BP39">
        <f>BL36</f>
        <v>102</v>
      </c>
    </row>
    <row r="40" spans="5:68" ht="18.75" x14ac:dyDescent="0.35">
      <c r="E40" t="s">
        <v>23</v>
      </c>
      <c r="F40" t="s">
        <v>11</v>
      </c>
      <c r="G40" t="s">
        <v>17</v>
      </c>
      <c r="S40" t="s">
        <v>25</v>
      </c>
      <c r="T40" t="s">
        <v>26</v>
      </c>
      <c r="U40" t="s">
        <v>17</v>
      </c>
      <c r="AV40">
        <f>AI43</f>
        <v>0.80049999999999999</v>
      </c>
      <c r="AW40">
        <v>111</v>
      </c>
      <c r="BP40">
        <f t="shared" ref="BP40" si="45">BD43</f>
        <v>103</v>
      </c>
    </row>
    <row r="41" spans="5:68" ht="18.75" x14ac:dyDescent="0.35">
      <c r="E41" s="4"/>
      <c r="F41" s="5">
        <v>10</v>
      </c>
      <c r="G41" s="4"/>
      <c r="H41" s="5">
        <v>20</v>
      </c>
      <c r="I41" s="4"/>
      <c r="J41" s="5">
        <v>30</v>
      </c>
      <c r="K41" s="4"/>
      <c r="L41" s="5">
        <v>40</v>
      </c>
      <c r="M41" s="4"/>
      <c r="N41" s="5">
        <v>50</v>
      </c>
      <c r="O41" s="4"/>
      <c r="P41" s="5">
        <v>60</v>
      </c>
      <c r="S41" s="4"/>
      <c r="T41" s="5">
        <v>10</v>
      </c>
      <c r="U41" s="4"/>
      <c r="V41" s="5">
        <v>20</v>
      </c>
      <c r="W41" s="4"/>
      <c r="X41" s="5">
        <v>30</v>
      </c>
      <c r="Y41" s="4"/>
      <c r="Z41" s="5">
        <v>40</v>
      </c>
      <c r="AA41" s="4"/>
      <c r="AB41" s="5">
        <v>50</v>
      </c>
      <c r="AC41" s="4"/>
      <c r="AD41" s="5">
        <v>60</v>
      </c>
      <c r="AG41" t="s">
        <v>28</v>
      </c>
      <c r="AH41" t="s">
        <v>11</v>
      </c>
      <c r="AI41" t="s">
        <v>17</v>
      </c>
      <c r="AV41">
        <f>AK43</f>
        <v>0.80049999999999999</v>
      </c>
      <c r="AW41">
        <v>112</v>
      </c>
      <c r="BB41" t="s">
        <v>28</v>
      </c>
      <c r="BC41" t="s">
        <v>11</v>
      </c>
      <c r="BD41" t="s">
        <v>17</v>
      </c>
      <c r="BP41">
        <f>BF43</f>
        <v>103</v>
      </c>
    </row>
    <row r="42" spans="5:68" x14ac:dyDescent="0.25">
      <c r="E42" s="13">
        <v>100</v>
      </c>
      <c r="F42" s="3"/>
      <c r="G42" s="17">
        <f xml:space="preserve"> DEGREES( ATAN(interpiano/L_1y))</f>
        <v>26.231939933156621</v>
      </c>
      <c r="H42" s="3"/>
      <c r="I42" s="17">
        <f xml:space="preserve"> DEGREES( ATAN(interpiano/L_1y))</f>
        <v>26.231939933156621</v>
      </c>
      <c r="J42" s="3"/>
      <c r="K42" s="17">
        <f xml:space="preserve"> DEGREES( ATAN(interpiano/L_1y))</f>
        <v>26.231939933156621</v>
      </c>
      <c r="L42" s="3"/>
      <c r="M42" s="17">
        <f xml:space="preserve"> DEGREES( ATAN(interpiano/L_1y))</f>
        <v>26.231939933156621</v>
      </c>
      <c r="N42" s="3"/>
      <c r="O42" s="17">
        <f xml:space="preserve"> DEGREES( ATAN(interpiano/L_1y))</f>
        <v>26.231939933156621</v>
      </c>
      <c r="P42" s="7"/>
      <c r="S42" s="13">
        <v>100</v>
      </c>
      <c r="T42" s="3"/>
      <c r="U42" s="17">
        <f>0.4^3*0.25/12</f>
        <v>1.3333333333333337E-3</v>
      </c>
      <c r="V42" s="3"/>
      <c r="W42" s="17">
        <f>U42</f>
        <v>1.3333333333333337E-3</v>
      </c>
      <c r="X42" s="3"/>
      <c r="Y42" s="17">
        <f>U42</f>
        <v>1.3333333333333337E-3</v>
      </c>
      <c r="Z42" s="3"/>
      <c r="AA42" s="17">
        <f>U42</f>
        <v>1.3333333333333337E-3</v>
      </c>
      <c r="AB42" s="3"/>
      <c r="AC42" s="17">
        <f>U42</f>
        <v>1.3333333333333337E-3</v>
      </c>
      <c r="AD42" s="7"/>
      <c r="AG42" s="4"/>
      <c r="AH42" s="5">
        <v>10</v>
      </c>
      <c r="AI42" s="4"/>
      <c r="AJ42" s="5">
        <v>20</v>
      </c>
      <c r="AK42" s="4"/>
      <c r="AL42" s="5">
        <v>30</v>
      </c>
      <c r="AM42" s="4"/>
      <c r="AN42" s="5">
        <v>40</v>
      </c>
      <c r="AO42" s="4"/>
      <c r="AP42" s="5">
        <v>50</v>
      </c>
      <c r="AQ42" s="4"/>
      <c r="AR42" s="5">
        <v>60</v>
      </c>
      <c r="AV42">
        <f>AM43</f>
        <v>0.80049999999999999</v>
      </c>
      <c r="AW42">
        <v>113</v>
      </c>
      <c r="BB42" s="4"/>
      <c r="BC42" s="5">
        <v>10</v>
      </c>
      <c r="BD42" s="4"/>
      <c r="BE42" s="5">
        <v>20</v>
      </c>
      <c r="BF42" s="4"/>
      <c r="BG42" s="5">
        <v>30</v>
      </c>
      <c r="BH42" s="4"/>
      <c r="BI42" s="5">
        <v>40</v>
      </c>
      <c r="BJ42" s="4"/>
      <c r="BK42" s="5">
        <v>50</v>
      </c>
      <c r="BL42" s="4"/>
      <c r="BM42" s="5">
        <v>60</v>
      </c>
      <c r="BP42">
        <f>BH43</f>
        <v>103</v>
      </c>
    </row>
    <row r="43" spans="5:68" x14ac:dyDescent="0.25">
      <c r="E43" s="4"/>
      <c r="F43" s="11"/>
      <c r="G43" s="5"/>
      <c r="H43" s="11"/>
      <c r="I43" s="5"/>
      <c r="J43" s="11"/>
      <c r="K43" s="5"/>
      <c r="L43" s="11"/>
      <c r="M43" s="5"/>
      <c r="N43" s="11"/>
      <c r="O43" s="5"/>
      <c r="P43" s="10"/>
      <c r="S43" s="4"/>
      <c r="T43" s="11"/>
      <c r="U43" s="5"/>
      <c r="V43" s="11"/>
      <c r="W43" s="5"/>
      <c r="X43" s="11"/>
      <c r="Y43" s="5"/>
      <c r="Z43" s="11"/>
      <c r="AA43" s="5"/>
      <c r="AB43" s="11"/>
      <c r="AC43" s="5"/>
      <c r="AD43" s="10"/>
      <c r="AG43" s="13">
        <v>100</v>
      </c>
      <c r="AH43" s="3"/>
      <c r="AI43" s="17">
        <f>ROUND(AI22*G22*U22,4)</f>
        <v>0.80049999999999999</v>
      </c>
      <c r="AJ43" s="3"/>
      <c r="AK43" s="17">
        <f t="shared" ref="AK43" si="46">ROUND(AK22*I22*W22,4)</f>
        <v>0.80049999999999999</v>
      </c>
      <c r="AL43" s="3"/>
      <c r="AM43" s="17">
        <f t="shared" ref="AM43" si="47">ROUND(AM22*K22*Y22,4)</f>
        <v>0.80049999999999999</v>
      </c>
      <c r="AN43" s="3"/>
      <c r="AO43" s="17">
        <f t="shared" ref="AO43" si="48">ROUND(AO22*M22*AA22,4)</f>
        <v>0.80049999999999999</v>
      </c>
      <c r="AP43" s="3"/>
      <c r="AQ43" s="17">
        <f t="shared" ref="AQ43" si="49">ROUND(AQ22*O22*AC22,4)</f>
        <v>0.80049999999999999</v>
      </c>
      <c r="AR43" s="3"/>
      <c r="AV43">
        <f>AO43</f>
        <v>0.80049999999999999</v>
      </c>
      <c r="AW43">
        <v>114</v>
      </c>
      <c r="BB43" s="13">
        <v>100</v>
      </c>
      <c r="BC43" s="3"/>
      <c r="BD43" s="17">
        <f>IF(AI43=$AX$30,$AW$30,IF(AI43=$AX$31,$AW$31,IF(AI43=$AX$32,$AW$32,IF(AI43=$AX$33,$AW$33,IF(AI43=$AX$34,$AW$34,IF(AI43=$AX$35,$AW$35,IF(AI43=$AX$36,$AW$36,IF(AI43=$AX$37,$AW$37,IF(AI43=$AX$38,$AW$38,IF(AI43=$AX$39,$AW$39,IF(AI43=$AX$40,$AW$40,IF(AI43=$AX$41,$AW$41,IF(AI43=$AX$42,$AW$42,IF(AI43=$AX$43,$AW$43,IF(AI43=$AX$44,$AW$44,IF(AI43=$AX$45,$AW$45,IF(AI43=$AX$46,$AW$46,IF(AI43=$AX$47,$AW$47,IF(AI43=$AX$48,$AW$48,IF(AI43=$AX$49,$AW$49,FALSE))))))))))))))))))))</f>
        <v>103</v>
      </c>
      <c r="BE43" s="3"/>
      <c r="BF43" s="17">
        <f t="shared" ref="BF43" si="50">IF(AK43=$AX$30,$AW$30,IF(AK43=$AX$31,$AW$31,IF(AK43=$AX$32,$AW$32,IF(AK43=$AX$33,$AW$33,IF(AK43=$AX$34,$AW$34,IF(AK43=$AX$35,$AW$35,IF(AK43=$AX$36,$AW$36,IF(AK43=$AX$37,$AW$37,IF(AK43=$AX$38,$AW$38,IF(AK43=$AX$39,$AW$39,IF(AK43=$AX$40,$AW$40,IF(AK43=$AX$41,$AW$41,IF(AK43=$AX$42,$AW$42,IF(AK43=$AX$43,$AW$43,IF(AK43=$AX$44,$AW$44,IF(AK43=$AX$45,$AW$45,IF(AK43=$AX$46,$AW$46,IF(AK43=$AX$47,$AW$47,IF(AK43=$AX$48,$AW$48,IF(AK43=$AX$49,$AW$49,FALSE))))))))))))))))))))</f>
        <v>103</v>
      </c>
      <c r="BG43" s="3"/>
      <c r="BH43" s="17">
        <f t="shared" ref="BH43" si="51">IF(AM43=$AX$30,$AW$30,IF(AM43=$AX$31,$AW$31,IF(AM43=$AX$32,$AW$32,IF(AM43=$AX$33,$AW$33,IF(AM43=$AX$34,$AW$34,IF(AM43=$AX$35,$AW$35,IF(AM43=$AX$36,$AW$36,IF(AM43=$AX$37,$AW$37,IF(AM43=$AX$38,$AW$38,IF(AM43=$AX$39,$AW$39,IF(AM43=$AX$40,$AW$40,IF(AM43=$AX$41,$AW$41,IF(AM43=$AX$42,$AW$42,IF(AM43=$AX$43,$AW$43,IF(AM43=$AX$44,$AW$44,IF(AM43=$AX$45,$AW$45,IF(AM43=$AX$46,$AW$46,IF(AM43=$AX$47,$AW$47,IF(AM43=$AX$48,$AW$48,IF(AM43=$AX$49,$AW$49,FALSE))))))))))))))))))))</f>
        <v>103</v>
      </c>
      <c r="BI43" s="3"/>
      <c r="BJ43" s="17">
        <f t="shared" ref="BJ43" si="52">IF(AO43=$AX$30,$AW$30,IF(AO43=$AX$31,$AW$31,IF(AO43=$AX$32,$AW$32,IF(AO43=$AX$33,$AW$33,IF(AO43=$AX$34,$AW$34,IF(AO43=$AX$35,$AW$35,IF(AO43=$AX$36,$AW$36,IF(AO43=$AX$37,$AW$37,IF(AO43=$AX$38,$AW$38,IF(AO43=$AX$39,$AW$39,IF(AO43=$AX$40,$AW$40,IF(AO43=$AX$41,$AW$41,IF(AO43=$AX$42,$AW$42,IF(AO43=$AX$43,$AW$43,IF(AO43=$AX$44,$AW$44,IF(AO43=$AX$45,$AW$45,IF(AO43=$AX$46,$AW$46,IF(AO43=$AX$47,$AW$47,IF(AO43=$AX$48,$AW$48,IF(AO43=$AX$49,$AW$49,FALSE))))))))))))))))))))</f>
        <v>103</v>
      </c>
      <c r="BK43" s="3"/>
      <c r="BL43" s="17">
        <f t="shared" ref="BL43" si="53">IF(AQ43=$AX$30,$AW$30,IF(AQ43=$AX$31,$AW$31,IF(AQ43=$AX$32,$AW$32,IF(AQ43=$AX$33,$AW$33,IF(AQ43=$AX$34,$AW$34,IF(AQ43=$AX$35,$AW$35,IF(AQ43=$AX$36,$AW$36,IF(AQ43=$AX$37,$AW$37,IF(AQ43=$AX$38,$AW$38,IF(AQ43=$AX$39,$AW$39,IF(AQ43=$AX$40,$AW$40,IF(AQ43=$AX$41,$AW$41,IF(AQ43=$AX$42,$AW$42,IF(AQ43=$AX$43,$AW$43,IF(AQ43=$AX$44,$AW$44,IF(AQ43=$AX$45,$AW$45,IF(AQ43=$AX$46,$AW$46,IF(AQ43=$AX$47,$AW$47,IF(AQ43=$AX$48,$AW$48,IF(AQ43=$AX$49,$AW$49,FALSE))))))))))))))))))))</f>
        <v>103</v>
      </c>
      <c r="BM43" s="3"/>
      <c r="BP43">
        <f>BJ43</f>
        <v>103</v>
      </c>
    </row>
    <row r="44" spans="5:68" x14ac:dyDescent="0.25">
      <c r="E44" s="14">
        <v>300</v>
      </c>
      <c r="F44" s="3"/>
      <c r="G44" s="17">
        <f xml:space="preserve"> DEGREES( ATAN(interpiano/L_3y))</f>
        <v>26.231939933156621</v>
      </c>
      <c r="H44" s="3"/>
      <c r="I44" s="17">
        <f xml:space="preserve"> DEGREES( ATAN(interpiano/L_3y))</f>
        <v>26.231939933156621</v>
      </c>
      <c r="J44" s="3"/>
      <c r="K44" s="17">
        <f xml:space="preserve"> DEGREES( ATAN(interpiano/L_3y))</f>
        <v>26.231939933156621</v>
      </c>
      <c r="L44" s="3"/>
      <c r="M44" s="17">
        <f xml:space="preserve"> DEGREES( ATAN(interpiano/L_3y))</f>
        <v>26.231939933156621</v>
      </c>
      <c r="N44" s="3"/>
      <c r="O44" s="17">
        <f xml:space="preserve"> DEGREES( ATAN(interpiano/L_3y))</f>
        <v>26.231939933156621</v>
      </c>
      <c r="P44" s="7"/>
      <c r="S44" s="14">
        <v>300</v>
      </c>
      <c r="T44" s="3"/>
      <c r="U44" s="17">
        <f>U42</f>
        <v>1.3333333333333337E-3</v>
      </c>
      <c r="V44" s="3"/>
      <c r="W44" s="17">
        <f>U42</f>
        <v>1.3333333333333337E-3</v>
      </c>
      <c r="X44" s="3"/>
      <c r="Y44" s="17">
        <f>U42</f>
        <v>1.3333333333333337E-3</v>
      </c>
      <c r="Z44" s="3"/>
      <c r="AA44" s="17">
        <f>U42</f>
        <v>1.3333333333333337E-3</v>
      </c>
      <c r="AB44" s="3"/>
      <c r="AC44" s="17">
        <f>U42</f>
        <v>1.3333333333333337E-3</v>
      </c>
      <c r="AD44" s="7"/>
      <c r="AG44" s="4"/>
      <c r="AH44" s="11"/>
      <c r="AI44" s="5"/>
      <c r="AJ44" s="11"/>
      <c r="AK44" s="5"/>
      <c r="AL44" s="11"/>
      <c r="AM44" s="5"/>
      <c r="AN44" s="11"/>
      <c r="AO44" s="5"/>
      <c r="AP44" s="11"/>
      <c r="AQ44" s="5"/>
      <c r="AR44" s="11"/>
      <c r="AV44">
        <f>AQ43</f>
        <v>0.80049999999999999</v>
      </c>
      <c r="AW44">
        <v>115</v>
      </c>
      <c r="BB44" s="4"/>
      <c r="BC44" s="11"/>
      <c r="BD44" s="5"/>
      <c r="BE44" s="11"/>
      <c r="BF44" s="5"/>
      <c r="BG44" s="11"/>
      <c r="BH44" s="5"/>
      <c r="BI44" s="11"/>
      <c r="BJ44" s="5"/>
      <c r="BK44" s="11"/>
      <c r="BL44" s="5"/>
      <c r="BM44" s="11"/>
      <c r="BP44">
        <f>BL43</f>
        <v>103</v>
      </c>
    </row>
    <row r="45" spans="5:68" x14ac:dyDescent="0.25">
      <c r="AG45" s="14">
        <v>300</v>
      </c>
      <c r="AH45" s="3"/>
      <c r="AI45" s="17">
        <f>ROUND(AI24*G24*U24,4)</f>
        <v>0.80049999999999999</v>
      </c>
      <c r="AJ45" s="3"/>
      <c r="AK45" s="17">
        <f t="shared" ref="AK45" si="54">ROUND(AK24*I24*W24,4)</f>
        <v>0.80049999999999999</v>
      </c>
      <c r="AL45" s="3"/>
      <c r="AM45" s="17">
        <f t="shared" ref="AM45" si="55">ROUND(AM24*K24*Y24,4)</f>
        <v>0.80049999999999999</v>
      </c>
      <c r="AN45" s="3"/>
      <c r="AO45" s="17">
        <f t="shared" ref="AO45" si="56">ROUND(AO24*M24*AA24,4)</f>
        <v>0.80049999999999999</v>
      </c>
      <c r="AP45" s="3"/>
      <c r="AQ45" s="17">
        <f t="shared" ref="AQ45" si="57">ROUND(AQ24*O24*AC24,4)</f>
        <v>0.80049999999999999</v>
      </c>
      <c r="AR45" s="3"/>
      <c r="AV45">
        <f>AI45</f>
        <v>0.80049999999999999</v>
      </c>
      <c r="AW45">
        <v>116</v>
      </c>
      <c r="BB45" s="14">
        <v>300</v>
      </c>
      <c r="BC45" s="3"/>
      <c r="BD45" s="17">
        <f>IF(AI45=$AX$30,$AW$30,IF(AI45=$AX$31,$AW$31,IF(AI45=$AX$32,$AW$32,IF(AI45=$AX$33,$AW$33,IF(AI45=$AX$34,$AW$34,IF(AI45=$AX$35,$AW$35,IF(AI45=$AX$36,$AW$36,IF(AI45=$AX$37,$AW$37,IF(AI45=$AX$38,$AW$38,IF(AI45=$AX$39,$AW$39,IF(AI45=$AX$40,$AW$40,IF(AI45=$AX$41,$AW$41,IF(AI45=$AX$42,$AW$42,IF(AI45=$AX$43,$AW$43,IF(AI45=$AX$44,$AW$44,IF(AI45=$AX$45,$AW$45,IF(AI45=$AX$46,$AW$46,IF(AI45=$AX$47,$AW$47,IF(AI45=$AX$48,$AW$48,IF(AI45=$AX$49,$AW$49,FALSE))))))))))))))))))))</f>
        <v>103</v>
      </c>
      <c r="BE45" s="3"/>
      <c r="BF45" s="17">
        <f t="shared" ref="BF45" si="58">IF(AK45=$AX$30,$AW$30,IF(AK45=$AX$31,$AW$31,IF(AK45=$AX$32,$AW$32,IF(AK45=$AX$33,$AW$33,IF(AK45=$AX$34,$AW$34,IF(AK45=$AX$35,$AW$35,IF(AK45=$AX$36,$AW$36,IF(AK45=$AX$37,$AW$37,IF(AK45=$AX$38,$AW$38,IF(AK45=$AX$39,$AW$39,IF(AK45=$AX$40,$AW$40,IF(AK45=$AX$41,$AW$41,IF(AK45=$AX$42,$AW$42,IF(AK45=$AX$43,$AW$43,IF(AK45=$AX$44,$AW$44,IF(AK45=$AX$45,$AW$45,IF(AK45=$AX$46,$AW$46,IF(AK45=$AX$47,$AW$47,IF(AK45=$AX$48,$AW$48,IF(AK45=$AX$49,$AW$49,FALSE))))))))))))))))))))</f>
        <v>103</v>
      </c>
      <c r="BG45" s="3"/>
      <c r="BH45" s="17">
        <f t="shared" ref="BH45" si="59">IF(AM45=$AX$30,$AW$30,IF(AM45=$AX$31,$AW$31,IF(AM45=$AX$32,$AW$32,IF(AM45=$AX$33,$AW$33,IF(AM45=$AX$34,$AW$34,IF(AM45=$AX$35,$AW$35,IF(AM45=$AX$36,$AW$36,IF(AM45=$AX$37,$AW$37,IF(AM45=$AX$38,$AW$38,IF(AM45=$AX$39,$AW$39,IF(AM45=$AX$40,$AW$40,IF(AM45=$AX$41,$AW$41,IF(AM45=$AX$42,$AW$42,IF(AM45=$AX$43,$AW$43,IF(AM45=$AX$44,$AW$44,IF(AM45=$AX$45,$AW$45,IF(AM45=$AX$46,$AW$46,IF(AM45=$AX$47,$AW$47,IF(AM45=$AX$48,$AW$48,IF(AM45=$AX$49,$AW$49,FALSE))))))))))))))))))))</f>
        <v>103</v>
      </c>
      <c r="BI45" s="3"/>
      <c r="BJ45" s="17">
        <f t="shared" ref="BJ45" si="60">IF(AO45=$AX$30,$AW$30,IF(AO45=$AX$31,$AW$31,IF(AO45=$AX$32,$AW$32,IF(AO45=$AX$33,$AW$33,IF(AO45=$AX$34,$AW$34,IF(AO45=$AX$35,$AW$35,IF(AO45=$AX$36,$AW$36,IF(AO45=$AX$37,$AW$37,IF(AO45=$AX$38,$AW$38,IF(AO45=$AX$39,$AW$39,IF(AO45=$AX$40,$AW$40,IF(AO45=$AX$41,$AW$41,IF(AO45=$AX$42,$AW$42,IF(AO45=$AX$43,$AW$43,IF(AO45=$AX$44,$AW$44,IF(AO45=$AX$45,$AW$45,IF(AO45=$AX$46,$AW$46,IF(AO45=$AX$47,$AW$47,IF(AO45=$AX$48,$AW$48,IF(AO45=$AX$49,$AW$49,FALSE))))))))))))))))))))</f>
        <v>103</v>
      </c>
      <c r="BK45" s="3"/>
      <c r="BL45" s="17">
        <f t="shared" ref="BL45" si="61">IF(AQ45=$AX$30,$AW$30,IF(AQ45=$AX$31,$AW$31,IF(AQ45=$AX$32,$AW$32,IF(AQ45=$AX$33,$AW$33,IF(AQ45=$AX$34,$AW$34,IF(AQ45=$AX$35,$AW$35,IF(AQ45=$AX$36,$AW$36,IF(AQ45=$AX$37,$AW$37,IF(AQ45=$AX$38,$AW$38,IF(AQ45=$AX$39,$AW$39,IF(AQ45=$AX$40,$AW$40,IF(AQ45=$AX$41,$AW$41,IF(AQ45=$AX$42,$AW$42,IF(AQ45=$AX$43,$AW$43,IF(AQ45=$AX$44,$AW$44,IF(AQ45=$AX$45,$AW$45,IF(AQ45=$AX$46,$AW$46,IF(AQ45=$AX$47,$AW$47,IF(AQ45=$AX$48,$AW$48,IF(AQ45=$AX$49,$AW$49,FALSE))))))))))))))))))))</f>
        <v>103</v>
      </c>
      <c r="BM45" s="3"/>
      <c r="BP45">
        <f>BD45</f>
        <v>103</v>
      </c>
    </row>
    <row r="46" spans="5:68" x14ac:dyDescent="0.25">
      <c r="AI46" s="5"/>
      <c r="AJ46" s="11"/>
      <c r="AK46" s="5"/>
      <c r="AL46" s="11"/>
      <c r="AM46" s="5"/>
      <c r="AN46" s="11"/>
      <c r="AO46" s="5"/>
      <c r="AP46" s="11"/>
      <c r="AQ46" s="5"/>
      <c r="AR46" s="11"/>
      <c r="AV46">
        <f>AK45</f>
        <v>0.80049999999999999</v>
      </c>
      <c r="AW46">
        <v>117</v>
      </c>
      <c r="BD46" s="5"/>
      <c r="BE46" s="11"/>
      <c r="BF46" s="5"/>
      <c r="BG46" s="11"/>
      <c r="BH46" s="5"/>
      <c r="BI46" s="11"/>
      <c r="BJ46" s="5"/>
      <c r="BK46" s="11"/>
      <c r="BL46" s="5"/>
      <c r="BM46" s="11"/>
      <c r="BP46">
        <f>BF45</f>
        <v>103</v>
      </c>
    </row>
    <row r="47" spans="5:68" x14ac:dyDescent="0.25">
      <c r="AV47">
        <f>AM45</f>
        <v>0.80049999999999999</v>
      </c>
      <c r="AW47">
        <v>118</v>
      </c>
      <c r="BP47">
        <f>BH45</f>
        <v>103</v>
      </c>
    </row>
    <row r="48" spans="5:68" x14ac:dyDescent="0.25">
      <c r="AV48">
        <f>AO45</f>
        <v>0.80049999999999999</v>
      </c>
      <c r="AW48">
        <v>119</v>
      </c>
      <c r="BP48">
        <f>BJ45</f>
        <v>103</v>
      </c>
    </row>
    <row r="49" spans="5:75" x14ac:dyDescent="0.25">
      <c r="AL49" s="24"/>
      <c r="AV49">
        <f>AQ45</f>
        <v>0.80049999999999999</v>
      </c>
      <c r="AW49">
        <v>120</v>
      </c>
      <c r="BP49">
        <f>BL45</f>
        <v>103</v>
      </c>
      <c r="BV49" s="18"/>
      <c r="BW49" s="18"/>
    </row>
    <row r="50" spans="5:75" x14ac:dyDescent="0.25">
      <c r="BQ50" s="20" t="s">
        <v>44</v>
      </c>
    </row>
    <row r="51" spans="5:75" ht="18.75" x14ac:dyDescent="0.35">
      <c r="E51" t="s">
        <v>24</v>
      </c>
      <c r="F51" t="s">
        <v>11</v>
      </c>
      <c r="G51" t="s">
        <v>18</v>
      </c>
      <c r="S51" t="s">
        <v>20</v>
      </c>
      <c r="T51" t="s">
        <v>11</v>
      </c>
      <c r="U51" t="s">
        <v>18</v>
      </c>
      <c r="AG51" t="s">
        <v>30</v>
      </c>
      <c r="AH51" t="s">
        <v>5</v>
      </c>
      <c r="AI51" t="s">
        <v>18</v>
      </c>
      <c r="AU51" s="20" t="s">
        <v>44</v>
      </c>
      <c r="BB51" t="s">
        <v>30</v>
      </c>
      <c r="BC51" t="s">
        <v>5</v>
      </c>
      <c r="BD51" t="s">
        <v>18</v>
      </c>
    </row>
    <row r="52" spans="5:75" x14ac:dyDescent="0.25">
      <c r="E52" s="4"/>
      <c r="F52" s="5">
        <v>10</v>
      </c>
      <c r="G52" s="4"/>
      <c r="H52" s="5">
        <v>20</v>
      </c>
      <c r="I52" s="4"/>
      <c r="J52" s="5">
        <v>30</v>
      </c>
      <c r="K52" s="4"/>
      <c r="L52" s="5">
        <v>40</v>
      </c>
      <c r="M52" s="4"/>
      <c r="N52" s="5">
        <v>50</v>
      </c>
      <c r="O52" s="4"/>
      <c r="P52" s="5">
        <v>60</v>
      </c>
      <c r="S52" s="4"/>
      <c r="T52" s="5">
        <v>10</v>
      </c>
      <c r="U52" s="4"/>
      <c r="V52" s="5">
        <v>20</v>
      </c>
      <c r="W52" s="4"/>
      <c r="X52" s="5">
        <v>30</v>
      </c>
      <c r="Y52" s="4"/>
      <c r="Z52" s="5">
        <v>40</v>
      </c>
      <c r="AA52" s="4"/>
      <c r="AB52" s="5">
        <v>50</v>
      </c>
      <c r="AC52" s="4"/>
      <c r="AD52" s="5">
        <v>60</v>
      </c>
      <c r="AG52" s="4"/>
      <c r="AH52" s="5">
        <v>10</v>
      </c>
      <c r="AI52" s="4"/>
      <c r="AJ52" s="5">
        <v>20</v>
      </c>
      <c r="AK52" s="4"/>
      <c r="AL52" s="5">
        <v>30</v>
      </c>
      <c r="AM52" s="4"/>
      <c r="AN52" s="5">
        <v>40</v>
      </c>
      <c r="AO52" s="4"/>
      <c r="AP52" s="5">
        <v>50</v>
      </c>
      <c r="AQ52" s="4"/>
      <c r="AR52" s="5">
        <v>60</v>
      </c>
      <c r="AT52">
        <f>AI55</f>
        <v>258.61</v>
      </c>
      <c r="AU52">
        <v>101</v>
      </c>
      <c r="AV52">
        <v>258.61</v>
      </c>
      <c r="BB52" s="4"/>
      <c r="BC52" s="5">
        <v>10</v>
      </c>
      <c r="BD52" s="4"/>
      <c r="BE52" s="5">
        <v>20</v>
      </c>
      <c r="BF52" s="4"/>
      <c r="BG52" s="5">
        <v>30</v>
      </c>
      <c r="BH52" s="4"/>
      <c r="BI52" s="5">
        <v>40</v>
      </c>
      <c r="BJ52" s="4"/>
      <c r="BK52" s="5">
        <v>50</v>
      </c>
      <c r="BL52" s="4"/>
      <c r="BM52" s="5">
        <v>60</v>
      </c>
      <c r="BQ52">
        <f t="shared" ref="BQ52" si="62">BD55</f>
        <v>101</v>
      </c>
    </row>
    <row r="53" spans="5:75" x14ac:dyDescent="0.25">
      <c r="E53" s="13">
        <v>100</v>
      </c>
      <c r="F53" s="3"/>
      <c r="G53" s="6" t="s">
        <v>12</v>
      </c>
      <c r="H53" s="3"/>
      <c r="I53" s="6" t="s">
        <v>12</v>
      </c>
      <c r="J53" s="3"/>
      <c r="K53" s="6" t="s">
        <v>12</v>
      </c>
      <c r="L53" s="3"/>
      <c r="M53" s="6" t="s">
        <v>12</v>
      </c>
      <c r="N53" s="3"/>
      <c r="O53" s="6" t="s">
        <v>12</v>
      </c>
      <c r="P53" s="7"/>
      <c r="S53" s="13">
        <v>100</v>
      </c>
      <c r="T53" s="3"/>
      <c r="U53" s="6" t="s">
        <v>12</v>
      </c>
      <c r="V53" s="3"/>
      <c r="W53" s="6" t="s">
        <v>12</v>
      </c>
      <c r="X53" s="3"/>
      <c r="Y53" s="6" t="s">
        <v>12</v>
      </c>
      <c r="Z53" s="3"/>
      <c r="AA53" s="6" t="s">
        <v>12</v>
      </c>
      <c r="AB53" s="3"/>
      <c r="AC53" s="6" t="s">
        <v>12</v>
      </c>
      <c r="AD53" s="7"/>
      <c r="AG53" s="13">
        <v>100</v>
      </c>
      <c r="AH53" s="3"/>
      <c r="AI53" s="6" t="s">
        <v>12</v>
      </c>
      <c r="AJ53" s="3"/>
      <c r="AK53" s="6" t="s">
        <v>12</v>
      </c>
      <c r="AL53" s="3"/>
      <c r="AM53" s="6" t="s">
        <v>12</v>
      </c>
      <c r="AN53" s="3"/>
      <c r="AO53" s="6" t="s">
        <v>12</v>
      </c>
      <c r="AP53" s="3"/>
      <c r="AQ53" s="6" t="s">
        <v>12</v>
      </c>
      <c r="AR53" s="7"/>
      <c r="AT53">
        <f>AK55</f>
        <v>519.92999999999995</v>
      </c>
      <c r="AU53">
        <v>102</v>
      </c>
      <c r="AV53">
        <v>513.92999999999995</v>
      </c>
      <c r="BB53" s="13">
        <v>100</v>
      </c>
      <c r="BC53" s="3"/>
      <c r="BD53" s="6" t="s">
        <v>12</v>
      </c>
      <c r="BE53" s="3"/>
      <c r="BF53" s="6" t="s">
        <v>12</v>
      </c>
      <c r="BG53" s="3"/>
      <c r="BH53" s="6" t="s">
        <v>12</v>
      </c>
      <c r="BI53" s="3"/>
      <c r="BJ53" s="6" t="s">
        <v>12</v>
      </c>
      <c r="BK53" s="3"/>
      <c r="BL53" s="6" t="s">
        <v>12</v>
      </c>
      <c r="BM53" s="7"/>
      <c r="BQ53">
        <f>BF55</f>
        <v>103</v>
      </c>
    </row>
    <row r="54" spans="5:75" x14ac:dyDescent="0.25">
      <c r="E54" s="4"/>
      <c r="F54" s="11"/>
      <c r="G54" s="5"/>
      <c r="H54" s="11"/>
      <c r="I54" s="5"/>
      <c r="J54" s="11"/>
      <c r="K54" s="5"/>
      <c r="L54" s="11"/>
      <c r="M54" s="5"/>
      <c r="N54" s="11"/>
      <c r="O54" s="5"/>
      <c r="P54" s="10"/>
      <c r="S54" s="4"/>
      <c r="T54" s="11"/>
      <c r="U54" s="5"/>
      <c r="V54" s="11"/>
      <c r="W54" s="5"/>
      <c r="X54" s="11"/>
      <c r="Y54" s="5"/>
      <c r="Z54" s="11"/>
      <c r="AA54" s="5"/>
      <c r="AB54" s="11"/>
      <c r="AC54" s="5"/>
      <c r="AD54" s="10"/>
      <c r="AG54" s="4"/>
      <c r="AH54" s="11"/>
      <c r="AI54" s="5"/>
      <c r="AJ54" s="11"/>
      <c r="AK54" s="5"/>
      <c r="AL54" s="11"/>
      <c r="AM54" s="5"/>
      <c r="AN54" s="11"/>
      <c r="AO54" s="5"/>
      <c r="AP54" s="11"/>
      <c r="AQ54" s="5"/>
      <c r="AR54" s="10"/>
      <c r="AT54">
        <f>AM55</f>
        <v>519.92999999999995</v>
      </c>
      <c r="AU54">
        <v>103</v>
      </c>
      <c r="AV54" s="20">
        <v>519.92999999999995</v>
      </c>
      <c r="BB54" s="4"/>
      <c r="BC54" s="11"/>
      <c r="BD54" s="5"/>
      <c r="BE54" s="11"/>
      <c r="BF54" s="5"/>
      <c r="BG54" s="11"/>
      <c r="BH54" s="5"/>
      <c r="BI54" s="11"/>
      <c r="BJ54" s="5"/>
      <c r="BK54" s="11"/>
      <c r="BL54" s="5"/>
      <c r="BM54" s="10"/>
      <c r="BQ54">
        <f>BH55</f>
        <v>103</v>
      </c>
    </row>
    <row r="55" spans="5:75" x14ac:dyDescent="0.25">
      <c r="E55" s="14">
        <v>200</v>
      </c>
      <c r="F55" s="3"/>
      <c r="G55" s="17">
        <f>SQRT(interpiano^2 + L_1x^2)</f>
        <v>3.8707234465923808</v>
      </c>
      <c r="H55" s="3"/>
      <c r="I55" s="17">
        <f>SQRT(interpiano^2 + L_2x^2)</f>
        <v>7.7820305833374883</v>
      </c>
      <c r="J55" s="3"/>
      <c r="K55" s="17">
        <f>SQRT(interpiano^2 + L_3x^2)</f>
        <v>7.7820305833374883</v>
      </c>
      <c r="L55" s="3"/>
      <c r="M55" s="17">
        <f>SQRT(interpiano^2 + L_4x^2)</f>
        <v>7.7820305833374883</v>
      </c>
      <c r="N55" s="3"/>
      <c r="O55" s="17">
        <f>SQRT(interpiano^2 + L_5x^2)</f>
        <v>7.7820305833374883</v>
      </c>
      <c r="P55" s="7"/>
      <c r="S55" s="14">
        <v>200</v>
      </c>
      <c r="T55" s="3"/>
      <c r="U55" s="17">
        <f>((E_m * Input!L33 * SIN(2*RADIANS(Puntoni!G33)) )      /    (4*E_c *interpiano* Puntoni!U33)   )^(1/4)</f>
        <v>0.99471033673487896</v>
      </c>
      <c r="V55" s="3"/>
      <c r="W55" s="17">
        <f>((E_m * Input!N33 * SIN(2*RADIANS(Puntoni!I33)) )      /    (4*E_c *interpiano* Puntoni!W33)   )^(1/4)</f>
        <v>0.9784256149347812</v>
      </c>
      <c r="X55" s="3"/>
      <c r="Y55" s="17">
        <f>((E_m * Input!P33 * SIN(2*RADIANS(Puntoni!K33)) )      /    (4*E_c *interpiano* Puntoni!Y33)   )^(1/4)</f>
        <v>0.9784256149347812</v>
      </c>
      <c r="Z55" s="3"/>
      <c r="AA55" s="17">
        <f>((E_m * Input!R33 * SIN(2*RADIANS(Puntoni!M33)) )      /    (4*E_c *interpiano* Puntoni!AA33)   )^(1/4)</f>
        <v>0.9784256149347812</v>
      </c>
      <c r="AB55" s="3"/>
      <c r="AC55" s="17">
        <f>((E_m * Input!T33 * SIN(2*RADIANS(Puntoni!O33)) )      /    (4*E_c *interpiano* Puntoni!AC33)   )^(1/4)</f>
        <v>0.9784256149347812</v>
      </c>
      <c r="AD55" s="3"/>
      <c r="AG55" s="14">
        <v>200</v>
      </c>
      <c r="AH55" s="3"/>
      <c r="AI55" s="17">
        <f>ROUND(0.1 * E_m * Input!L33 *Puntoni!G55,2)</f>
        <v>258.61</v>
      </c>
      <c r="AJ55" s="3"/>
      <c r="AK55" s="17">
        <f>ROUND(0.1 * E_m * Input!N33 *Puntoni!I55,2)</f>
        <v>519.92999999999995</v>
      </c>
      <c r="AL55" s="3"/>
      <c r="AM55" s="17">
        <f>ROUND(0.1 * E_m * Input!P33 *Puntoni!K55,2)</f>
        <v>519.92999999999995</v>
      </c>
      <c r="AN55" s="3"/>
      <c r="AO55" s="17">
        <f>ROUND(0.1 * E_m * Input!R33 *Puntoni!M55,2)</f>
        <v>519.92999999999995</v>
      </c>
      <c r="AP55" s="3"/>
      <c r="AQ55" s="17">
        <f>ROUND(0.1 * E_m * Input!T33 *Puntoni!O55,2)</f>
        <v>519.92999999999995</v>
      </c>
      <c r="AR55" s="3"/>
      <c r="AT55">
        <f>AO55</f>
        <v>519.92999999999995</v>
      </c>
      <c r="AU55">
        <v>104</v>
      </c>
      <c r="BB55" s="14">
        <v>200</v>
      </c>
      <c r="BC55" s="3"/>
      <c r="BD55" s="17">
        <f>IF(AI55=$AV$52,$AU$52,IF(AI55=$AV$53,$AU$53,IF(AI55=$AV$54,$AU$54,IF(AI55=$AV$55,$AU$55,IF(AI55=$AV$56,$AU$56,IF(AI55=$AV$57,$AU$57,IF(AI55=$AV$58,$AU$58,IF(AI55=$AV$59,$AU$59,IF(AI55=$AV$60,$AU$60,IF(AI55=$AV$61,$AU$61,IF(AI55=$AV$62,$AU$62,IF(AI55=$AV$63,$AU$63,IF(AI55=$AV$64,$AU$64,IF(AI55=$AV$65,$AU$65,IF(AI55=$AV$66,$AU$66,IF(AI55=$AV$67,$AU$67,IF(AI55=$AV$68,$AU$68,IF(AI55=$AV$69,$AU$69,IF(AI55=$AV$70,$AU$70,IF(AI55=$AV$71,$AU$71,FALSE))))))))))))))))))))</f>
        <v>101</v>
      </c>
      <c r="BE55" s="3"/>
      <c r="BF55" s="17">
        <f t="shared" ref="BF55" si="63">IF(AK55=$AV$52,$AU$52,IF(AK55=$AV$53,$AU$53,IF(AK55=$AV$54,$AU$54,IF(AK55=$AV$55,$AU$55,IF(AK55=$AV$56,$AU$56,IF(AK55=$AV$57,$AU$57,IF(AK55=$AV$58,$AU$58,IF(AK55=$AV$59,$AU$59,IF(AK55=$AV$60,$AU$60,IF(AK55=$AV$61,$AU$61,IF(AK55=$AV$62,$AU$62,IF(AK55=$AV$63,$AU$63,IF(AK55=$AV$64,$AU$64,IF(AK55=$AV$65,$AU$65,IF(AK55=$AV$66,$AU$66,IF(AK55=$AV$67,$AU$67,IF(AK55=$AV$68,$AU$68,IF(AK55=$AV$69,$AU$69,IF(AK55=$AV$70,$AU$70,IF(AK55=$AV$71,$AU$71,FALSE))))))))))))))))))))</f>
        <v>103</v>
      </c>
      <c r="BG55" s="3"/>
      <c r="BH55" s="17">
        <f t="shared" ref="BH55" si="64">IF(AM55=$AV$52,$AU$52,IF(AM55=$AV$53,$AU$53,IF(AM55=$AV$54,$AU$54,IF(AM55=$AV$55,$AU$55,IF(AM55=$AV$56,$AU$56,IF(AM55=$AV$57,$AU$57,IF(AM55=$AV$58,$AU$58,IF(AM55=$AV$59,$AU$59,IF(AM55=$AV$60,$AU$60,IF(AM55=$AV$61,$AU$61,IF(AM55=$AV$62,$AU$62,IF(AM55=$AV$63,$AU$63,IF(AM55=$AV$64,$AU$64,IF(AM55=$AV$65,$AU$65,IF(AM55=$AV$66,$AU$66,IF(AM55=$AV$67,$AU$67,IF(AM55=$AV$68,$AU$68,IF(AM55=$AV$69,$AU$69,IF(AM55=$AV$70,$AU$70,IF(AM55=$AV$71,$AU$71,FALSE))))))))))))))))))))</f>
        <v>103</v>
      </c>
      <c r="BI55" s="3"/>
      <c r="BJ55" s="17">
        <f t="shared" ref="BJ55" si="65">IF(AO55=$AV$52,$AU$52,IF(AO55=$AV$53,$AU$53,IF(AO55=$AV$54,$AU$54,IF(AO55=$AV$55,$AU$55,IF(AO55=$AV$56,$AU$56,IF(AO55=$AV$57,$AU$57,IF(AO55=$AV$58,$AU$58,IF(AO55=$AV$59,$AU$59,IF(AO55=$AV$60,$AU$60,IF(AO55=$AV$61,$AU$61,IF(AO55=$AV$62,$AU$62,IF(AO55=$AV$63,$AU$63,IF(AO55=$AV$64,$AU$64,IF(AO55=$AV$65,$AU$65,IF(AO55=$AV$66,$AU$66,IF(AO55=$AV$67,$AU$67,IF(AO55=$AV$68,$AU$68,IF(AO55=$AV$69,$AU$69,IF(AO55=$AV$70,$AU$70,IF(AO55=$AV$71,$AU$71,FALSE))))))))))))))))))))</f>
        <v>103</v>
      </c>
      <c r="BK55" s="3"/>
      <c r="BL55" s="17">
        <f t="shared" ref="BL55" si="66">IF(AQ55=$AV$52,$AU$52,IF(AQ55=$AV$53,$AU$53,IF(AQ55=$AV$54,$AU$54,IF(AQ55=$AV$55,$AU$55,IF(AQ55=$AV$56,$AU$56,IF(AQ55=$AV$57,$AU$57,IF(AQ55=$AV$58,$AU$58,IF(AQ55=$AV$59,$AU$59,IF(AQ55=$AV$60,$AU$60,IF(AQ55=$AV$61,$AU$61,IF(AQ55=$AV$62,$AU$62,IF(AQ55=$AV$63,$AU$63,IF(AQ55=$AV$64,$AU$64,IF(AQ55=$AV$65,$AU$65,IF(AQ55=$AV$66,$AU$66,IF(AQ55=$AV$67,$AU$67,IF(AQ55=$AV$68,$AU$68,IF(AQ55=$AV$69,$AU$69,IF(AQ55=$AV$70,$AU$70,IF(AQ55=$AV$71,$AU$71,FALSE))))))))))))))))))))</f>
        <v>103</v>
      </c>
      <c r="BM55" s="3"/>
      <c r="BQ55">
        <f>BJ55</f>
        <v>103</v>
      </c>
    </row>
    <row r="56" spans="5:75" x14ac:dyDescent="0.25">
      <c r="E56" s="4"/>
      <c r="F56" s="11"/>
      <c r="G56" s="5"/>
      <c r="H56" s="11"/>
      <c r="I56" s="5"/>
      <c r="J56" s="11"/>
      <c r="K56" s="5"/>
      <c r="L56" s="11"/>
      <c r="M56" s="5"/>
      <c r="N56" s="11"/>
      <c r="O56" s="5"/>
      <c r="P56" s="10"/>
      <c r="S56" s="4"/>
      <c r="T56" s="11"/>
      <c r="U56" s="5"/>
      <c r="V56" s="11"/>
      <c r="W56" s="5"/>
      <c r="X56" s="11"/>
      <c r="Y56" s="5"/>
      <c r="Z56" s="11"/>
      <c r="AA56" s="5"/>
      <c r="AB56" s="11"/>
      <c r="AC56" s="5"/>
      <c r="AD56" s="11"/>
      <c r="AG56" s="4"/>
      <c r="AH56" s="11"/>
      <c r="AI56" s="5"/>
      <c r="AJ56" s="11"/>
      <c r="AK56" s="5"/>
      <c r="AL56" s="11"/>
      <c r="AM56" s="5"/>
      <c r="AN56" s="11"/>
      <c r="AO56" s="5"/>
      <c r="AP56" s="11"/>
      <c r="AQ56" s="5"/>
      <c r="AR56" s="11"/>
      <c r="AT56">
        <f>AQ55</f>
        <v>519.92999999999995</v>
      </c>
      <c r="AU56">
        <v>105</v>
      </c>
      <c r="BB56" s="4"/>
      <c r="BC56" s="11"/>
      <c r="BD56" s="5"/>
      <c r="BE56" s="11"/>
      <c r="BF56" s="5"/>
      <c r="BG56" s="11"/>
      <c r="BH56" s="5"/>
      <c r="BI56" s="11"/>
      <c r="BJ56" s="5"/>
      <c r="BK56" s="11"/>
      <c r="BL56" s="5"/>
      <c r="BM56" s="11"/>
      <c r="BQ56">
        <f>BL55</f>
        <v>103</v>
      </c>
    </row>
    <row r="57" spans="5:75" x14ac:dyDescent="0.25">
      <c r="E57" s="14">
        <v>300</v>
      </c>
      <c r="F57" s="3"/>
      <c r="G57" s="17">
        <f>SQRT(interpiano^2 + L_1x^2)</f>
        <v>3.8707234465923808</v>
      </c>
      <c r="H57" s="3"/>
      <c r="I57" s="17">
        <f>SQRT(interpiano^2 + L_2x^2)</f>
        <v>7.7820305833374883</v>
      </c>
      <c r="J57" s="3"/>
      <c r="K57" s="17">
        <f>SQRT(interpiano^2 + L_3x^2)</f>
        <v>7.7820305833374883</v>
      </c>
      <c r="L57" s="3"/>
      <c r="M57" s="17">
        <f>SQRT(interpiano^2 + L_4x^2)</f>
        <v>7.7820305833374883</v>
      </c>
      <c r="N57" s="3"/>
      <c r="O57" s="17">
        <f>SQRT(interpiano^2 + L_5x^2)</f>
        <v>7.7820305833374883</v>
      </c>
      <c r="P57" s="7"/>
      <c r="S57" s="14">
        <v>300</v>
      </c>
      <c r="T57" s="3"/>
      <c r="U57" s="17">
        <f>((E_m * Input!L35 * SIN(2*RADIANS(Puntoni!G35)) )      /    (4*E_c *interpiano* Puntoni!U35)   )^(1/4)</f>
        <v>0.99471033673487896</v>
      </c>
      <c r="V57" s="3"/>
      <c r="W57" s="17">
        <f>((E_m * Input!N35 * SIN(2*RADIANS(Puntoni!I35)) )      /    (4*E_c *interpiano* Puntoni!W35)   )^(1/4)</f>
        <v>0.9784256149347812</v>
      </c>
      <c r="X57" s="3"/>
      <c r="Y57" s="17">
        <f>((E_m * Input!P35 * SIN(2*RADIANS(Puntoni!K35)) )      /    (4*E_c *interpiano* Puntoni!Y35)   )^(1/4)</f>
        <v>0.9784256149347812</v>
      </c>
      <c r="Z57" s="3"/>
      <c r="AA57" s="17">
        <f>((E_m * Input!R35 * SIN(2*RADIANS(Puntoni!M35)) )      /    (4*E_c *interpiano* Puntoni!AA35)   )^(1/4)</f>
        <v>0.9784256149347812</v>
      </c>
      <c r="AB57" s="3"/>
      <c r="AC57" s="17">
        <f>((E_m * Input!T35 * SIN(2*RADIANS(Puntoni!O35)) )      /    (4*E_c *interpiano* Puntoni!AC35)   )^(1/4)</f>
        <v>0.9784256149347812</v>
      </c>
      <c r="AD57" s="3"/>
      <c r="AG57" s="14">
        <v>300</v>
      </c>
      <c r="AH57" s="3"/>
      <c r="AI57" s="17">
        <f>ROUND(0.1 * E_m * Input!L35 *Puntoni!G57,2)</f>
        <v>258.61</v>
      </c>
      <c r="AJ57" s="3"/>
      <c r="AK57" s="17">
        <f>ROUND(0.1 * E_m * Input!N35 *Puntoni!I57,2)</f>
        <v>519.92999999999995</v>
      </c>
      <c r="AL57" s="3"/>
      <c r="AM57" s="17">
        <f>ROUND(0.1 * E_m * Input!P35 *Puntoni!K57,2)</f>
        <v>519.92999999999995</v>
      </c>
      <c r="AN57" s="3"/>
      <c r="AO57" s="17">
        <f>ROUND(0.1 * E_m * Input!R35 *Puntoni!M57,2)</f>
        <v>519.92999999999995</v>
      </c>
      <c r="AP57" s="3"/>
      <c r="AQ57" s="17">
        <f>ROUND(0.1 * E_m * Input!T35 *Puntoni!O57,2)</f>
        <v>519.92999999999995</v>
      </c>
      <c r="AR57" s="3"/>
      <c r="AT57">
        <f>AI57</f>
        <v>258.61</v>
      </c>
      <c r="AU57">
        <v>106</v>
      </c>
      <c r="BB57" s="14">
        <v>300</v>
      </c>
      <c r="BC57" s="3"/>
      <c r="BD57" s="17">
        <f>IF(AI57=$AV$52,$AU$52,IF(AI57=$AV$53,$AU$53,IF(AI57=$AV$54,$AU$54,IF(AI57=$AV$55,$AU$55,IF(AI57=$AV$56,$AU$56,IF(AI57=$AV$57,$AU$57,IF(AI57=$AV$58,$AU$58,IF(AI57=$AV$59,$AU$59,IF(AI57=$AV$60,$AU$60,IF(AI57=$AV$61,$AU$61,IF(AI57=$AV$62,$AU$62,IF(AI57=$AV$63,$AU$63,IF(AI57=$AV$64,$AU$64,IF(AI57=$AV$65,$AU$65,IF(AI57=$AV$66,$AU$66,IF(AI57=$AV$67,$AU$67,IF(AI57=$AV$68,$AU$68,IF(AI57=$AV$69,$AU$69,IF(AI57=$AV$70,$AU$70,IF(AI57=$AV$71,$AU$71,FALSE))))))))))))))))))))</f>
        <v>101</v>
      </c>
      <c r="BE57" s="3"/>
      <c r="BF57" s="17">
        <f t="shared" ref="BF57" si="67">IF(AK57=$AV$52,$AU$52,IF(AK57=$AV$53,$AU$53,IF(AK57=$AV$54,$AU$54,IF(AK57=$AV$55,$AU$55,IF(AK57=$AV$56,$AU$56,IF(AK57=$AV$57,$AU$57,IF(AK57=$AV$58,$AU$58,IF(AK57=$AV$59,$AU$59,IF(AK57=$AV$60,$AU$60,IF(AK57=$AV$61,$AU$61,IF(AK57=$AV$62,$AU$62,IF(AK57=$AV$63,$AU$63,IF(AK57=$AV$64,$AU$64,IF(AK57=$AV$65,$AU$65,IF(AK57=$AV$66,$AU$66,IF(AK57=$AV$67,$AU$67,IF(AK57=$AV$68,$AU$68,IF(AK57=$AV$69,$AU$69,IF(AK57=$AV$70,$AU$70,IF(AK57=$AV$71,$AU$71,FALSE))))))))))))))))))))</f>
        <v>103</v>
      </c>
      <c r="BG57" s="3"/>
      <c r="BH57" s="17">
        <f t="shared" ref="BH57" si="68">IF(AM57=$AV$52,$AU$52,IF(AM57=$AV$53,$AU$53,IF(AM57=$AV$54,$AU$54,IF(AM57=$AV$55,$AU$55,IF(AM57=$AV$56,$AU$56,IF(AM57=$AV$57,$AU$57,IF(AM57=$AV$58,$AU$58,IF(AM57=$AV$59,$AU$59,IF(AM57=$AV$60,$AU$60,IF(AM57=$AV$61,$AU$61,IF(AM57=$AV$62,$AU$62,IF(AM57=$AV$63,$AU$63,IF(AM57=$AV$64,$AU$64,IF(AM57=$AV$65,$AU$65,IF(AM57=$AV$66,$AU$66,IF(AM57=$AV$67,$AU$67,IF(AM57=$AV$68,$AU$68,IF(AM57=$AV$69,$AU$69,IF(AM57=$AV$70,$AU$70,IF(AM57=$AV$71,$AU$71,FALSE))))))))))))))))))))</f>
        <v>103</v>
      </c>
      <c r="BI57" s="3"/>
      <c r="BJ57" s="17">
        <f t="shared" ref="BJ57" si="69">IF(AO57=$AV$52,$AU$52,IF(AO57=$AV$53,$AU$53,IF(AO57=$AV$54,$AU$54,IF(AO57=$AV$55,$AU$55,IF(AO57=$AV$56,$AU$56,IF(AO57=$AV$57,$AU$57,IF(AO57=$AV$58,$AU$58,IF(AO57=$AV$59,$AU$59,IF(AO57=$AV$60,$AU$60,IF(AO57=$AV$61,$AU$61,IF(AO57=$AV$62,$AU$62,IF(AO57=$AV$63,$AU$63,IF(AO57=$AV$64,$AU$64,IF(AO57=$AV$65,$AU$65,IF(AO57=$AV$66,$AU$66,IF(AO57=$AV$67,$AU$67,IF(AO57=$AV$68,$AU$68,IF(AO57=$AV$69,$AU$69,IF(AO57=$AV$70,$AU$70,IF(AO57=$AV$71,$AU$71,FALSE))))))))))))))))))))</f>
        <v>103</v>
      </c>
      <c r="BK57" s="3"/>
      <c r="BL57" s="17">
        <f t="shared" ref="BL57" si="70">IF(AQ57=$AV$52,$AU$52,IF(AQ57=$AV$53,$AU$53,IF(AQ57=$AV$54,$AU$54,IF(AQ57=$AV$55,$AU$55,IF(AQ57=$AV$56,$AU$56,IF(AQ57=$AV$57,$AU$57,IF(AQ57=$AV$58,$AU$58,IF(AQ57=$AV$59,$AU$59,IF(AQ57=$AV$60,$AU$60,IF(AQ57=$AV$61,$AU$61,IF(AQ57=$AV$62,$AU$62,IF(AQ57=$AV$63,$AU$63,IF(AQ57=$AV$64,$AU$64,IF(AQ57=$AV$65,$AU$65,IF(AQ57=$AV$66,$AU$66,IF(AQ57=$AV$67,$AU$67,IF(AQ57=$AV$68,$AU$68,IF(AQ57=$AV$69,$AU$69,IF(AQ57=$AV$70,$AU$70,IF(AQ57=$AV$71,$AU$71,FALSE))))))))))))))))))))</f>
        <v>103</v>
      </c>
      <c r="BM57" s="3"/>
      <c r="BQ57">
        <f>BD57</f>
        <v>101</v>
      </c>
    </row>
    <row r="58" spans="5:75" x14ac:dyDescent="0.25">
      <c r="E58" s="4"/>
      <c r="F58" s="11"/>
      <c r="G58" s="5"/>
      <c r="H58" s="11"/>
      <c r="I58" s="5"/>
      <c r="J58" s="11"/>
      <c r="K58" s="5"/>
      <c r="L58" s="11"/>
      <c r="M58" s="5"/>
      <c r="N58" s="11"/>
      <c r="O58" s="5"/>
      <c r="P58" s="10"/>
      <c r="S58" s="4"/>
      <c r="T58" s="11"/>
      <c r="U58" s="5"/>
      <c r="V58" s="11"/>
      <c r="W58" s="5"/>
      <c r="X58" s="11"/>
      <c r="Y58" s="5"/>
      <c r="Z58" s="11"/>
      <c r="AA58" s="5"/>
      <c r="AB58" s="11"/>
      <c r="AC58" s="5"/>
      <c r="AD58" s="11"/>
      <c r="AG58" s="4"/>
      <c r="AH58" s="11"/>
      <c r="AI58" s="5"/>
      <c r="AJ58" s="11"/>
      <c r="AK58" s="5"/>
      <c r="AL58" s="11"/>
      <c r="AM58" s="5"/>
      <c r="AN58" s="11"/>
      <c r="AO58" s="5"/>
      <c r="AP58" s="11"/>
      <c r="AQ58" s="5"/>
      <c r="AR58" s="11"/>
      <c r="AT58">
        <f>AK57</f>
        <v>519.92999999999995</v>
      </c>
      <c r="AU58">
        <v>107</v>
      </c>
      <c r="BB58" s="4"/>
      <c r="BC58" s="11"/>
      <c r="BD58" s="5"/>
      <c r="BE58" s="11"/>
      <c r="BF58" s="5"/>
      <c r="BG58" s="11"/>
      <c r="BH58" s="5"/>
      <c r="BI58" s="11"/>
      <c r="BJ58" s="5"/>
      <c r="BK58" s="11"/>
      <c r="BL58" s="5"/>
      <c r="BM58" s="11"/>
      <c r="BQ58">
        <f>BF57</f>
        <v>103</v>
      </c>
    </row>
    <row r="59" spans="5:75" x14ac:dyDescent="0.25">
      <c r="E59" s="14">
        <v>400</v>
      </c>
      <c r="F59" s="3"/>
      <c r="G59" s="6" t="s">
        <v>12</v>
      </c>
      <c r="H59" s="3"/>
      <c r="I59" s="6" t="s">
        <v>12</v>
      </c>
      <c r="J59" s="3"/>
      <c r="K59" s="6" t="s">
        <v>12</v>
      </c>
      <c r="L59" s="3"/>
      <c r="M59" s="6" t="s">
        <v>12</v>
      </c>
      <c r="N59" s="3"/>
      <c r="O59" s="6" t="s">
        <v>12</v>
      </c>
      <c r="P59" s="7"/>
      <c r="S59" s="14">
        <v>400</v>
      </c>
      <c r="T59" s="3"/>
      <c r="U59" s="6" t="s">
        <v>12</v>
      </c>
      <c r="V59" s="3"/>
      <c r="W59" s="6" t="s">
        <v>12</v>
      </c>
      <c r="X59" s="3"/>
      <c r="Y59" s="6" t="s">
        <v>12</v>
      </c>
      <c r="Z59" s="3"/>
      <c r="AA59" s="6" t="s">
        <v>12</v>
      </c>
      <c r="AB59" s="3"/>
      <c r="AC59" s="6" t="s">
        <v>12</v>
      </c>
      <c r="AD59" s="7"/>
      <c r="AG59" s="14">
        <v>400</v>
      </c>
      <c r="AH59" s="3"/>
      <c r="AI59" s="6" t="s">
        <v>12</v>
      </c>
      <c r="AJ59" s="3"/>
      <c r="AK59" s="6" t="s">
        <v>12</v>
      </c>
      <c r="AL59" s="3"/>
      <c r="AM59" s="6" t="s">
        <v>12</v>
      </c>
      <c r="AN59" s="3"/>
      <c r="AO59" s="6" t="s">
        <v>12</v>
      </c>
      <c r="AP59" s="3"/>
      <c r="AQ59" s="6" t="s">
        <v>12</v>
      </c>
      <c r="AR59" s="7"/>
      <c r="AT59">
        <f>AM57</f>
        <v>519.92999999999995</v>
      </c>
      <c r="AU59">
        <v>108</v>
      </c>
      <c r="BB59" s="14">
        <v>400</v>
      </c>
      <c r="BC59" s="3"/>
      <c r="BD59" s="6" t="s">
        <v>12</v>
      </c>
      <c r="BE59" s="3"/>
      <c r="BF59" s="6" t="s">
        <v>12</v>
      </c>
      <c r="BG59" s="3"/>
      <c r="BH59" s="6" t="s">
        <v>12</v>
      </c>
      <c r="BI59" s="3"/>
      <c r="BJ59" s="6" t="s">
        <v>12</v>
      </c>
      <c r="BK59" s="3"/>
      <c r="BL59" s="6" t="s">
        <v>12</v>
      </c>
      <c r="BM59" s="7"/>
      <c r="BQ59">
        <f>BH57</f>
        <v>103</v>
      </c>
    </row>
    <row r="60" spans="5:75" x14ac:dyDescent="0.25">
      <c r="AT60">
        <f>AO57</f>
        <v>519.92999999999995</v>
      </c>
      <c r="AU60">
        <v>109</v>
      </c>
      <c r="BQ60">
        <f>BJ57</f>
        <v>103</v>
      </c>
    </row>
    <row r="61" spans="5:75" x14ac:dyDescent="0.25">
      <c r="AT61">
        <f>AQ57</f>
        <v>519.92999999999995</v>
      </c>
      <c r="AU61">
        <v>110</v>
      </c>
      <c r="BQ61">
        <f>BL57</f>
        <v>103</v>
      </c>
    </row>
    <row r="62" spans="5:75" ht="18.75" customHeight="1" x14ac:dyDescent="0.35">
      <c r="E62" t="s">
        <v>24</v>
      </c>
      <c r="F62" t="s">
        <v>11</v>
      </c>
      <c r="G62" t="s">
        <v>17</v>
      </c>
      <c r="S62" t="s">
        <v>20</v>
      </c>
      <c r="T62" t="s">
        <v>11</v>
      </c>
      <c r="U62" t="s">
        <v>17</v>
      </c>
      <c r="AG62" t="s">
        <v>30</v>
      </c>
      <c r="AH62" t="s">
        <v>5</v>
      </c>
      <c r="AI62" t="s">
        <v>17</v>
      </c>
      <c r="AT62">
        <f>AI64</f>
        <v>513.92999999999995</v>
      </c>
      <c r="AU62">
        <v>111</v>
      </c>
      <c r="BB62" t="s">
        <v>30</v>
      </c>
      <c r="BC62" t="s">
        <v>5</v>
      </c>
      <c r="BD62" t="s">
        <v>17</v>
      </c>
      <c r="BQ62">
        <f t="shared" ref="BQ62" si="71">BD64</f>
        <v>102</v>
      </c>
    </row>
    <row r="63" spans="5:75" x14ac:dyDescent="0.25">
      <c r="E63" s="4"/>
      <c r="F63" s="5">
        <v>10</v>
      </c>
      <c r="G63" s="4"/>
      <c r="H63" s="5">
        <v>20</v>
      </c>
      <c r="I63" s="4"/>
      <c r="J63" s="5">
        <v>30</v>
      </c>
      <c r="K63" s="4"/>
      <c r="L63" s="5">
        <v>40</v>
      </c>
      <c r="M63" s="4"/>
      <c r="N63" s="5">
        <v>50</v>
      </c>
      <c r="O63" s="4"/>
      <c r="P63" s="5">
        <v>60</v>
      </c>
      <c r="S63" s="4"/>
      <c r="T63" s="5">
        <v>10</v>
      </c>
      <c r="U63" s="4"/>
      <c r="V63" s="5">
        <v>20</v>
      </c>
      <c r="W63" s="4"/>
      <c r="X63" s="5">
        <v>30</v>
      </c>
      <c r="Y63" s="4"/>
      <c r="Z63" s="5">
        <v>40</v>
      </c>
      <c r="AA63" s="4"/>
      <c r="AB63" s="5">
        <v>50</v>
      </c>
      <c r="AC63" s="4"/>
      <c r="AD63" s="5">
        <v>60</v>
      </c>
      <c r="AG63" s="4"/>
      <c r="AH63" s="5">
        <v>10</v>
      </c>
      <c r="AI63" s="4"/>
      <c r="AJ63" s="5">
        <v>20</v>
      </c>
      <c r="AK63" s="4"/>
      <c r="AL63" s="5">
        <v>30</v>
      </c>
      <c r="AM63" s="4"/>
      <c r="AN63" s="5">
        <v>40</v>
      </c>
      <c r="AO63" s="4"/>
      <c r="AP63" s="5">
        <v>50</v>
      </c>
      <c r="AQ63" s="4"/>
      <c r="AR63" s="5">
        <v>60</v>
      </c>
      <c r="AT63">
        <f>AK64</f>
        <v>513.92999999999995</v>
      </c>
      <c r="AU63">
        <v>112</v>
      </c>
      <c r="BB63" s="4"/>
      <c r="BC63" s="5">
        <v>10</v>
      </c>
      <c r="BD63" s="4"/>
      <c r="BE63" s="5">
        <v>20</v>
      </c>
      <c r="BF63" s="4"/>
      <c r="BG63" s="5">
        <v>30</v>
      </c>
      <c r="BH63" s="4"/>
      <c r="BI63" s="5">
        <v>40</v>
      </c>
      <c r="BJ63" s="4"/>
      <c r="BK63" s="5">
        <v>50</v>
      </c>
      <c r="BL63" s="4"/>
      <c r="BM63" s="5">
        <v>60</v>
      </c>
      <c r="BQ63">
        <f>BF64</f>
        <v>102</v>
      </c>
    </row>
    <row r="64" spans="5:75" x14ac:dyDescent="0.25">
      <c r="E64" s="13">
        <v>100</v>
      </c>
      <c r="F64" s="3"/>
      <c r="G64" s="17">
        <f>SQRT(interpiano^2 + L_1y^2)</f>
        <v>7.6922038454528749</v>
      </c>
      <c r="H64" s="3"/>
      <c r="I64" s="17">
        <f>SQRT(interpiano^2 + L_1y^2)</f>
        <v>7.6922038454528749</v>
      </c>
      <c r="J64" s="3"/>
      <c r="K64" s="17">
        <f>SQRT(interpiano^2 + L_1y^2)</f>
        <v>7.6922038454528749</v>
      </c>
      <c r="L64" s="3"/>
      <c r="M64" s="17">
        <f>SQRT(interpiano^2 + L_1y^2)</f>
        <v>7.6922038454528749</v>
      </c>
      <c r="N64" s="3"/>
      <c r="O64" s="17">
        <f>SQRT(interpiano^2 + L_1y^2)</f>
        <v>7.6922038454528749</v>
      </c>
      <c r="P64" s="7"/>
      <c r="S64" s="13">
        <v>100</v>
      </c>
      <c r="T64" s="3"/>
      <c r="U64" s="17">
        <f>((E_m * Input!L43 * SIN(2*RADIANS(Puntoni!G42)))/(4* E_c * Puntoni!U42* interpiano))^(1/4)</f>
        <v>0.98058817304723656</v>
      </c>
      <c r="V64" s="3"/>
      <c r="W64" s="17">
        <f>((E_m * Input!N43 * SIN(2*RADIANS(Puntoni!I42)))/(4* E_c * Puntoni!W42* interpiano))^(1/4)</f>
        <v>0.98058817304723656</v>
      </c>
      <c r="X64" s="3"/>
      <c r="Y64" s="17">
        <f>((E_m * Input!P43 * SIN(2*RADIANS(Puntoni!K42)))/(4* E_c * Puntoni!Y42* interpiano))^(1/4)</f>
        <v>0.98058817304723656</v>
      </c>
      <c r="Z64" s="3"/>
      <c r="AA64" s="17">
        <f>((E_m * Input!R43 * SIN(2*RADIANS(Puntoni!M42)))/(4* E_c * Puntoni!AA42* interpiano))^(1/4)</f>
        <v>0.98058817304723656</v>
      </c>
      <c r="AB64" s="3"/>
      <c r="AC64" s="17">
        <f>((E_m * Input!T43 * SIN(2*RADIANS(Puntoni!O42)))/(4* E_c * Puntoni!AC42* interpiano))^(1/4)</f>
        <v>0.98058817304723656</v>
      </c>
      <c r="AD64" s="3"/>
      <c r="AG64" s="13">
        <v>100</v>
      </c>
      <c r="AH64" s="3"/>
      <c r="AI64" s="17">
        <f>ROUND(0.1*E_m *Input!L43 *Puntoni!G64,2)</f>
        <v>513.92999999999995</v>
      </c>
      <c r="AJ64" s="3"/>
      <c r="AK64" s="17">
        <f>ROUND(0.1*E_m *Input!N43 *Puntoni!I64,2)</f>
        <v>513.92999999999995</v>
      </c>
      <c r="AL64" s="3"/>
      <c r="AM64" s="17">
        <f>ROUND(0.1*E_m *Input!P43 *Puntoni!K64,2)</f>
        <v>513.92999999999995</v>
      </c>
      <c r="AN64" s="3"/>
      <c r="AO64" s="17">
        <f>ROUND(0.1*E_m *Input!R43 *Puntoni!M64,2)</f>
        <v>513.92999999999995</v>
      </c>
      <c r="AP64" s="3"/>
      <c r="AQ64" s="17">
        <f>ROUND(0.1*E_m *Input!T43 *Puntoni!O64,2)</f>
        <v>513.92999999999995</v>
      </c>
      <c r="AR64" s="3"/>
      <c r="AT64">
        <f>AM64</f>
        <v>513.92999999999995</v>
      </c>
      <c r="AU64">
        <v>113</v>
      </c>
      <c r="BB64" s="13">
        <v>100</v>
      </c>
      <c r="BC64" s="3"/>
      <c r="BD64" s="17">
        <f>IF(AI64=$AV$52,$AU$52,IF(AI64=$AV$53,$AU$53,IF(AI64=$AV$54,$AU$54,IF(AI64=$AV$55,$AU$55,IF(AI64=$AV$56,$AU$56,IF(AI64=$AV$57,$AU$57,IF(AI64=$AV$58,$AU$58,IF(AI64=$AV$59,$AU$59,IF(AI64=$AV$60,$AU$60,IF(AI64=$AV$61,$AU$61,IF(AI64=$AV$62,$AU$62,IF(AI64=$AV$63,$AU$63,IF(AI64=$AV$64,$AU$64,IF(AI64=$AV$65,$AU$65,IF(AI64=$AV$66,$AU$66,IF(AI64=$AV$67,$AU$67,IF(AI64=$AV$68,$AU$68,IF(AI64=$AV$69,$AU$69,IF(AI64=$AV$70,$AU$70,IF(AI64=$AV$71,$AU$71,FALSE))))))))))))))))))))</f>
        <v>102</v>
      </c>
      <c r="BE64" s="3"/>
      <c r="BF64" s="17">
        <f t="shared" ref="BF64" si="72">IF(AK64=$AV$52,$AU$52,IF(AK64=$AV$53,$AU$53,IF(AK64=$AV$54,$AU$54,IF(AK64=$AV$55,$AU$55,IF(AK64=$AV$56,$AU$56,IF(AK64=$AV$57,$AU$57,IF(AK64=$AV$58,$AU$58,IF(AK64=$AV$59,$AU$59,IF(AK64=$AV$60,$AU$60,IF(AK64=$AV$61,$AU$61,IF(AK64=$AV$62,$AU$62,IF(AK64=$AV$63,$AU$63,IF(AK64=$AV$64,$AU$64,IF(AK64=$AV$65,$AU$65,IF(AK64=$AV$66,$AU$66,IF(AK64=$AV$67,$AU$67,IF(AK64=$AV$68,$AU$68,IF(AK64=$AV$69,$AU$69,IF(AK64=$AV$70,$AU$70,IF(AK64=$AV$71,$AU$71,FALSE))))))))))))))))))))</f>
        <v>102</v>
      </c>
      <c r="BG64" s="3"/>
      <c r="BH64" s="17">
        <f t="shared" ref="BH64" si="73">IF(AM64=$AV$52,$AU$52,IF(AM64=$AV$53,$AU$53,IF(AM64=$AV$54,$AU$54,IF(AM64=$AV$55,$AU$55,IF(AM64=$AV$56,$AU$56,IF(AM64=$AV$57,$AU$57,IF(AM64=$AV$58,$AU$58,IF(AM64=$AV$59,$AU$59,IF(AM64=$AV$60,$AU$60,IF(AM64=$AV$61,$AU$61,IF(AM64=$AV$62,$AU$62,IF(AM64=$AV$63,$AU$63,IF(AM64=$AV$64,$AU$64,IF(AM64=$AV$65,$AU$65,IF(AM64=$AV$66,$AU$66,IF(AM64=$AV$67,$AU$67,IF(AM64=$AV$68,$AU$68,IF(AM64=$AV$69,$AU$69,IF(AM64=$AV$70,$AU$70,IF(AM64=$AV$71,$AU$71,FALSE))))))))))))))))))))</f>
        <v>102</v>
      </c>
      <c r="BI64" s="3"/>
      <c r="BJ64" s="17">
        <f t="shared" ref="BJ64" si="74">IF(AO64=$AV$52,$AU$52,IF(AO64=$AV$53,$AU$53,IF(AO64=$AV$54,$AU$54,IF(AO64=$AV$55,$AU$55,IF(AO64=$AV$56,$AU$56,IF(AO64=$AV$57,$AU$57,IF(AO64=$AV$58,$AU$58,IF(AO64=$AV$59,$AU$59,IF(AO64=$AV$60,$AU$60,IF(AO64=$AV$61,$AU$61,IF(AO64=$AV$62,$AU$62,IF(AO64=$AV$63,$AU$63,IF(AO64=$AV$64,$AU$64,IF(AO64=$AV$65,$AU$65,IF(AO64=$AV$66,$AU$66,IF(AO64=$AV$67,$AU$67,IF(AO64=$AV$68,$AU$68,IF(AO64=$AV$69,$AU$69,IF(AO64=$AV$70,$AU$70,IF(AO64=$AV$71,$AU$71,FALSE))))))))))))))))))))</f>
        <v>102</v>
      </c>
      <c r="BK64" s="3"/>
      <c r="BL64" s="17">
        <f t="shared" ref="BL64" si="75">IF(AQ64=$AV$52,$AU$52,IF(AQ64=$AV$53,$AU$53,IF(AQ64=$AV$54,$AU$54,IF(AQ64=$AV$55,$AU$55,IF(AQ64=$AV$56,$AU$56,IF(AQ64=$AV$57,$AU$57,IF(AQ64=$AV$58,$AU$58,IF(AQ64=$AV$59,$AU$59,IF(AQ64=$AV$60,$AU$60,IF(AQ64=$AV$61,$AU$61,IF(AQ64=$AV$62,$AU$62,IF(AQ64=$AV$63,$AU$63,IF(AQ64=$AV$64,$AU$64,IF(AQ64=$AV$65,$AU$65,IF(AQ64=$AV$66,$AU$66,IF(AQ64=$AV$67,$AU$67,IF(AQ64=$AV$68,$AU$68,IF(AQ64=$AV$69,$AU$69,IF(AQ64=$AV$70,$AU$70,IF(AQ64=$AV$71,$AU$71,FALSE))))))))))))))))))))</f>
        <v>102</v>
      </c>
      <c r="BM64" s="3"/>
      <c r="BQ64">
        <f>BH64</f>
        <v>102</v>
      </c>
    </row>
    <row r="65" spans="5:69" x14ac:dyDescent="0.25">
      <c r="E65" s="4"/>
      <c r="F65" s="11"/>
      <c r="G65" s="5"/>
      <c r="H65" s="11"/>
      <c r="I65" s="5"/>
      <c r="J65" s="11"/>
      <c r="K65" s="5"/>
      <c r="L65" s="11"/>
      <c r="M65" s="5"/>
      <c r="N65" s="11"/>
      <c r="O65" s="5"/>
      <c r="P65" s="10"/>
      <c r="S65" s="4"/>
      <c r="T65" s="11"/>
      <c r="U65" s="5"/>
      <c r="V65" s="11"/>
      <c r="W65" s="5"/>
      <c r="X65" s="11"/>
      <c r="Y65" s="5"/>
      <c r="Z65" s="11"/>
      <c r="AA65" s="5"/>
      <c r="AB65" s="11"/>
      <c r="AC65" s="5"/>
      <c r="AD65" s="11"/>
      <c r="AG65" s="4"/>
      <c r="AH65" s="11"/>
      <c r="AI65" s="5"/>
      <c r="AJ65" s="11"/>
      <c r="AK65" s="5"/>
      <c r="AL65" s="11"/>
      <c r="AM65" s="5"/>
      <c r="AN65" s="11"/>
      <c r="AO65" s="5"/>
      <c r="AP65" s="11"/>
      <c r="AQ65" s="5"/>
      <c r="AR65" s="11"/>
      <c r="AT65">
        <f>AO64</f>
        <v>513.92999999999995</v>
      </c>
      <c r="AU65">
        <v>114</v>
      </c>
      <c r="BB65" s="4"/>
      <c r="BC65" s="11"/>
      <c r="BD65" s="5"/>
      <c r="BE65" s="11"/>
      <c r="BF65" s="5"/>
      <c r="BG65" s="11"/>
      <c r="BH65" s="5"/>
      <c r="BI65" s="11"/>
      <c r="BJ65" s="5"/>
      <c r="BK65" s="11"/>
      <c r="BL65" s="5"/>
      <c r="BM65" s="11"/>
      <c r="BQ65">
        <f>BJ64</f>
        <v>102</v>
      </c>
    </row>
    <row r="66" spans="5:69" x14ac:dyDescent="0.25">
      <c r="E66" s="14">
        <v>300</v>
      </c>
      <c r="F66" s="3"/>
      <c r="G66" s="17">
        <f>SQRT(interpiano^2 + L_3y^2)</f>
        <v>7.6922038454528749</v>
      </c>
      <c r="H66" s="3"/>
      <c r="I66" s="17">
        <f>SQRT(interpiano^2 + L_3y^2)</f>
        <v>7.6922038454528749</v>
      </c>
      <c r="J66" s="3"/>
      <c r="K66" s="17">
        <f>SQRT(interpiano^2 + L_3y^2)</f>
        <v>7.6922038454528749</v>
      </c>
      <c r="L66" s="3"/>
      <c r="M66" s="17">
        <f>SQRT(interpiano^2 + L_3y^2)</f>
        <v>7.6922038454528749</v>
      </c>
      <c r="N66" s="3"/>
      <c r="O66" s="17">
        <f>SQRT(interpiano^2 + L_3y^2)</f>
        <v>7.6922038454528749</v>
      </c>
      <c r="P66" s="7"/>
      <c r="S66" s="14">
        <v>300</v>
      </c>
      <c r="T66" s="3"/>
      <c r="U66" s="17">
        <f>((E_m * Input!L45 * SIN(2*RADIANS(Puntoni!G44)))/(4* E_c * Puntoni!U44* interpiano))^(1/4)</f>
        <v>0.98058817304723656</v>
      </c>
      <c r="V66" s="3"/>
      <c r="W66" s="17">
        <f>((E_m * Input!N45 * SIN(2*RADIANS(Puntoni!I44)))/(4* E_c * Puntoni!W44* interpiano))^(1/4)</f>
        <v>0.98058817304723656</v>
      </c>
      <c r="X66" s="3"/>
      <c r="Y66" s="17">
        <f>((E_m * Input!P45 * SIN(2*RADIANS(Puntoni!K44)))/(4* E_c * Puntoni!Y44* interpiano))^(1/4)</f>
        <v>0.98058817304723656</v>
      </c>
      <c r="Z66" s="3"/>
      <c r="AA66" s="17">
        <f>((E_m * Input!R45 * SIN(2*RADIANS(Puntoni!M44)))/(4* E_c * Puntoni!AA44* interpiano))^(1/4)</f>
        <v>0.98058817304723656</v>
      </c>
      <c r="AB66" s="3"/>
      <c r="AC66" s="17">
        <f>((E_m * Input!T45 * SIN(2*RADIANS(Puntoni!O44)))/(4* E_c * Puntoni!AC44* interpiano))^(1/4)</f>
        <v>0.98058817304723656</v>
      </c>
      <c r="AD66" s="3"/>
      <c r="AG66" s="14">
        <v>300</v>
      </c>
      <c r="AH66" s="3"/>
      <c r="AI66" s="17">
        <f>ROUND(0.1*E_m *Input!L45 *Puntoni!G66,2)</f>
        <v>513.92999999999995</v>
      </c>
      <c r="AJ66" s="3"/>
      <c r="AK66" s="17">
        <f>ROUND(0.1*E_m *Input!N45 *Puntoni!I66,2)</f>
        <v>513.92999999999995</v>
      </c>
      <c r="AL66" s="3"/>
      <c r="AM66" s="17">
        <f>ROUND(0.1*E_m *Input!P45 *Puntoni!K66,2)</f>
        <v>513.92999999999995</v>
      </c>
      <c r="AN66" s="3"/>
      <c r="AO66" s="17">
        <f>ROUND(0.1*E_m *Input!R45 *Puntoni!M66,2)</f>
        <v>513.92999999999995</v>
      </c>
      <c r="AP66" s="3"/>
      <c r="AQ66" s="17">
        <f>ROUND(0.1*E_m *Input!T45 *Puntoni!O66,2)</f>
        <v>513.92999999999995</v>
      </c>
      <c r="AR66" s="3"/>
      <c r="AT66">
        <f>AQ64</f>
        <v>513.92999999999995</v>
      </c>
      <c r="AU66">
        <v>115</v>
      </c>
      <c r="BB66" s="14">
        <v>300</v>
      </c>
      <c r="BC66" s="3"/>
      <c r="BD66" s="17">
        <f>IF(AI66=$AV$52,$AU$52,IF(AI66=$AV$53,$AU$53,IF(AI66=$AV$54,$AU$54,IF(AI66=$AV$55,$AU$55,IF(AI66=$AV$56,$AU$56,IF(AI66=$AV$57,$AU$57,IF(AI66=$AV$58,$AU$58,IF(AI66=$AV$59,$AU$59,IF(AI66=$AV$60,$AU$60,IF(AI66=$AV$61,$AU$61,IF(AI66=$AV$62,$AU$62,IF(AI66=$AV$63,$AU$63,IF(AI66=$AV$64,$AU$64,IF(AI66=$AV$65,$AU$65,IF(AI66=$AV$66,$AU$66,IF(AI66=$AV$67,$AU$67,IF(AI66=$AV$68,$AU$68,IF(AI66=$AV$69,$AU$69,IF(AI66=$AV$70,$AU$70,IF(AI66=$AV$71,$AU$71,FALSE))))))))))))))))))))</f>
        <v>102</v>
      </c>
      <c r="BE66" s="3"/>
      <c r="BF66" s="17">
        <f t="shared" ref="BF66" si="76">IF(AK66=$AV$52,$AU$52,IF(AK66=$AV$53,$AU$53,IF(AK66=$AV$54,$AU$54,IF(AK66=$AV$55,$AU$55,IF(AK66=$AV$56,$AU$56,IF(AK66=$AV$57,$AU$57,IF(AK66=$AV$58,$AU$58,IF(AK66=$AV$59,$AU$59,IF(AK66=$AV$60,$AU$60,IF(AK66=$AV$61,$AU$61,IF(AK66=$AV$62,$AU$62,IF(AK66=$AV$63,$AU$63,IF(AK66=$AV$64,$AU$64,IF(AK66=$AV$65,$AU$65,IF(AK66=$AV$66,$AU$66,IF(AK66=$AV$67,$AU$67,IF(AK66=$AV$68,$AU$68,IF(AK66=$AV$69,$AU$69,IF(AK66=$AV$70,$AU$70,IF(AK66=$AV$71,$AU$71,FALSE))))))))))))))))))))</f>
        <v>102</v>
      </c>
      <c r="BG66" s="3"/>
      <c r="BH66" s="17">
        <f t="shared" ref="BH66" si="77">IF(AM66=$AV$52,$AU$52,IF(AM66=$AV$53,$AU$53,IF(AM66=$AV$54,$AU$54,IF(AM66=$AV$55,$AU$55,IF(AM66=$AV$56,$AU$56,IF(AM66=$AV$57,$AU$57,IF(AM66=$AV$58,$AU$58,IF(AM66=$AV$59,$AU$59,IF(AM66=$AV$60,$AU$60,IF(AM66=$AV$61,$AU$61,IF(AM66=$AV$62,$AU$62,IF(AM66=$AV$63,$AU$63,IF(AM66=$AV$64,$AU$64,IF(AM66=$AV$65,$AU$65,IF(AM66=$AV$66,$AU$66,IF(AM66=$AV$67,$AU$67,IF(AM66=$AV$68,$AU$68,IF(AM66=$AV$69,$AU$69,IF(AM66=$AV$70,$AU$70,IF(AM66=$AV$71,$AU$71,FALSE))))))))))))))))))))</f>
        <v>102</v>
      </c>
      <c r="BI66" s="3"/>
      <c r="BJ66" s="17">
        <f t="shared" ref="BJ66" si="78">IF(AO66=$AV$52,$AU$52,IF(AO66=$AV$53,$AU$53,IF(AO66=$AV$54,$AU$54,IF(AO66=$AV$55,$AU$55,IF(AO66=$AV$56,$AU$56,IF(AO66=$AV$57,$AU$57,IF(AO66=$AV$58,$AU$58,IF(AO66=$AV$59,$AU$59,IF(AO66=$AV$60,$AU$60,IF(AO66=$AV$61,$AU$61,IF(AO66=$AV$62,$AU$62,IF(AO66=$AV$63,$AU$63,IF(AO66=$AV$64,$AU$64,IF(AO66=$AV$65,$AU$65,IF(AO66=$AV$66,$AU$66,IF(AO66=$AV$67,$AU$67,IF(AO66=$AV$68,$AU$68,IF(AO66=$AV$69,$AU$69,IF(AO66=$AV$70,$AU$70,IF(AO66=$AV$71,$AU$71,FALSE))))))))))))))))))))</f>
        <v>102</v>
      </c>
      <c r="BK66" s="3"/>
      <c r="BL66" s="17">
        <f t="shared" ref="BL66" si="79">IF(AQ66=$AV$52,$AU$52,IF(AQ66=$AV$53,$AU$53,IF(AQ66=$AV$54,$AU$54,IF(AQ66=$AV$55,$AU$55,IF(AQ66=$AV$56,$AU$56,IF(AQ66=$AV$57,$AU$57,IF(AQ66=$AV$58,$AU$58,IF(AQ66=$AV$59,$AU$59,IF(AQ66=$AV$60,$AU$60,IF(AQ66=$AV$61,$AU$61,IF(AQ66=$AV$62,$AU$62,IF(AQ66=$AV$63,$AU$63,IF(AQ66=$AV$64,$AU$64,IF(AQ66=$AV$65,$AU$65,IF(AQ66=$AV$66,$AU$66,IF(AQ66=$AV$67,$AU$67,IF(AQ66=$AV$68,$AU$68,IF(AQ66=$AV$69,$AU$69,IF(AQ66=$AV$70,$AU$70,IF(AQ66=$AV$71,$AU$71,FALSE))))))))))))))))))))</f>
        <v>102</v>
      </c>
      <c r="BM66" s="3"/>
      <c r="BQ66">
        <f>BL64</f>
        <v>102</v>
      </c>
    </row>
    <row r="67" spans="5:69" x14ac:dyDescent="0.25">
      <c r="U67" s="5"/>
      <c r="V67" s="11"/>
      <c r="W67" s="5"/>
      <c r="X67" s="11"/>
      <c r="Y67" s="5"/>
      <c r="Z67" s="11"/>
      <c r="AA67" s="5"/>
      <c r="AB67" s="11"/>
      <c r="AC67" s="5"/>
      <c r="AD67" s="11"/>
      <c r="AI67" s="5"/>
      <c r="AJ67" s="11"/>
      <c r="AK67" s="5"/>
      <c r="AL67" s="11"/>
      <c r="AM67" s="5"/>
      <c r="AN67" s="11"/>
      <c r="AO67" s="5"/>
      <c r="AP67" s="11"/>
      <c r="AQ67" s="5"/>
      <c r="AR67" s="11"/>
      <c r="AT67">
        <f>AI66</f>
        <v>513.92999999999995</v>
      </c>
      <c r="AU67">
        <v>116</v>
      </c>
      <c r="BD67" s="5"/>
      <c r="BE67" s="11"/>
      <c r="BF67" s="5"/>
      <c r="BG67" s="11"/>
      <c r="BH67" s="5"/>
      <c r="BI67" s="11"/>
      <c r="BJ67" s="5"/>
      <c r="BK67" s="11"/>
      <c r="BL67" s="5"/>
      <c r="BM67" s="11"/>
      <c r="BQ67">
        <f>BD66</f>
        <v>102</v>
      </c>
    </row>
    <row r="68" spans="5:69" x14ac:dyDescent="0.25">
      <c r="AT68">
        <f>AK66</f>
        <v>513.92999999999995</v>
      </c>
      <c r="AU68">
        <v>117</v>
      </c>
      <c r="BQ68">
        <f>BF66</f>
        <v>102</v>
      </c>
    </row>
    <row r="69" spans="5:69" x14ac:dyDescent="0.25">
      <c r="AT69">
        <f>AM66</f>
        <v>513.92999999999995</v>
      </c>
      <c r="AU69">
        <v>118</v>
      </c>
      <c r="BQ69">
        <f>BH66</f>
        <v>102</v>
      </c>
    </row>
    <row r="70" spans="5:69" x14ac:dyDescent="0.25">
      <c r="E70" t="s">
        <v>29</v>
      </c>
      <c r="F70" t="s">
        <v>13</v>
      </c>
      <c r="G70" t="s">
        <v>18</v>
      </c>
      <c r="AT70">
        <f>AO66</f>
        <v>513.92999999999995</v>
      </c>
      <c r="AU70">
        <v>119</v>
      </c>
      <c r="BQ70">
        <f>BJ66</f>
        <v>102</v>
      </c>
    </row>
    <row r="71" spans="5:69" x14ac:dyDescent="0.25">
      <c r="E71" s="4"/>
      <c r="F71" s="5">
        <v>10</v>
      </c>
      <c r="G71" s="4"/>
      <c r="H71" s="5">
        <v>20</v>
      </c>
      <c r="I71" s="4"/>
      <c r="J71" s="5">
        <v>30</v>
      </c>
      <c r="K71" s="4"/>
      <c r="L71" s="5">
        <v>40</v>
      </c>
      <c r="M71" s="4"/>
      <c r="N71" s="5">
        <v>50</v>
      </c>
      <c r="O71" s="4"/>
      <c r="P71" s="5">
        <v>60</v>
      </c>
      <c r="AT71">
        <f>AQ66</f>
        <v>513.92999999999995</v>
      </c>
      <c r="AU71">
        <v>120</v>
      </c>
      <c r="BQ71">
        <f>BL66</f>
        <v>102</v>
      </c>
    </row>
    <row r="72" spans="5:69" x14ac:dyDescent="0.25">
      <c r="E72" s="13">
        <v>100</v>
      </c>
      <c r="F72" s="3"/>
      <c r="G72" s="6" t="s">
        <v>12</v>
      </c>
      <c r="H72" s="3"/>
      <c r="I72" s="6" t="s">
        <v>12</v>
      </c>
      <c r="J72" s="3"/>
      <c r="K72" s="6" t="s">
        <v>12</v>
      </c>
      <c r="L72" s="3"/>
      <c r="M72" s="6" t="s">
        <v>12</v>
      </c>
      <c r="N72" s="3"/>
      <c r="O72" s="6" t="s">
        <v>12</v>
      </c>
      <c r="P72" s="7"/>
    </row>
    <row r="73" spans="5:69" x14ac:dyDescent="0.25">
      <c r="E73" s="4"/>
      <c r="F73" s="11"/>
      <c r="G73" s="5"/>
      <c r="H73" s="11"/>
      <c r="I73" s="5"/>
      <c r="J73" s="11"/>
      <c r="K73" s="5"/>
      <c r="L73" s="11"/>
      <c r="M73" s="5"/>
      <c r="N73" s="11"/>
      <c r="O73" s="5"/>
      <c r="P73" s="10"/>
    </row>
    <row r="74" spans="5:69" x14ac:dyDescent="0.25">
      <c r="E74" s="14">
        <v>200</v>
      </c>
      <c r="F74" s="3"/>
      <c r="G74" s="17">
        <f>interpiano *1.1</f>
        <v>3.74</v>
      </c>
      <c r="H74" s="3"/>
      <c r="I74" s="17">
        <f>interpiano *1.1</f>
        <v>3.74</v>
      </c>
      <c r="J74" s="3"/>
      <c r="K74" s="17">
        <f>interpiano *1.1</f>
        <v>3.74</v>
      </c>
      <c r="L74" s="3"/>
      <c r="M74" s="17">
        <f>interpiano *1.1</f>
        <v>3.74</v>
      </c>
      <c r="N74" s="3"/>
      <c r="O74" s="17">
        <f>interpiano *1.1</f>
        <v>3.74</v>
      </c>
      <c r="P74" s="7"/>
    </row>
    <row r="75" spans="5:69" x14ac:dyDescent="0.25">
      <c r="E75" s="4"/>
      <c r="F75" s="11"/>
      <c r="G75" s="5"/>
      <c r="H75" s="11"/>
      <c r="I75" s="5"/>
      <c r="J75" s="11"/>
      <c r="K75" s="5"/>
      <c r="L75" s="11"/>
      <c r="M75" s="5"/>
      <c r="N75" s="11"/>
      <c r="O75" s="5"/>
      <c r="P75" s="10"/>
    </row>
    <row r="76" spans="5:69" x14ac:dyDescent="0.25">
      <c r="E76" s="14">
        <v>300</v>
      </c>
      <c r="F76" s="3"/>
      <c r="G76" s="17">
        <f>interpiano *1.1</f>
        <v>3.74</v>
      </c>
      <c r="H76" s="3"/>
      <c r="I76" s="17">
        <f>interpiano *1.1</f>
        <v>3.74</v>
      </c>
      <c r="J76" s="3"/>
      <c r="K76" s="17">
        <f>interpiano *1.1</f>
        <v>3.74</v>
      </c>
      <c r="L76" s="3"/>
      <c r="M76" s="17">
        <f>interpiano *1.1</f>
        <v>3.74</v>
      </c>
      <c r="N76" s="3"/>
      <c r="O76" s="17">
        <f>interpiano *1.1</f>
        <v>3.74</v>
      </c>
      <c r="P76" s="7"/>
    </row>
    <row r="77" spans="5:69" x14ac:dyDescent="0.25">
      <c r="E77" s="4"/>
      <c r="F77" s="11"/>
      <c r="G77" s="5"/>
      <c r="H77" s="11"/>
      <c r="I77" s="5"/>
      <c r="J77" s="11"/>
      <c r="K77" s="5"/>
      <c r="L77" s="11"/>
      <c r="M77" s="5"/>
      <c r="N77" s="11"/>
      <c r="O77" s="5"/>
      <c r="P77" s="10"/>
    </row>
    <row r="78" spans="5:69" x14ac:dyDescent="0.25">
      <c r="E78" s="14">
        <v>400</v>
      </c>
      <c r="F78" s="3"/>
      <c r="G78" s="6" t="s">
        <v>12</v>
      </c>
      <c r="H78" s="3"/>
      <c r="I78" s="6" t="s">
        <v>12</v>
      </c>
      <c r="J78" s="3"/>
      <c r="K78" s="6" t="s">
        <v>12</v>
      </c>
      <c r="L78" s="3"/>
      <c r="M78" s="6" t="s">
        <v>12</v>
      </c>
      <c r="N78" s="3"/>
      <c r="O78" s="6" t="s">
        <v>12</v>
      </c>
      <c r="P78" s="7"/>
    </row>
    <row r="81" spans="5:16" x14ac:dyDescent="0.25">
      <c r="E81" t="s">
        <v>29</v>
      </c>
      <c r="F81" t="s">
        <v>13</v>
      </c>
      <c r="G81" t="s">
        <v>17</v>
      </c>
    </row>
    <row r="82" spans="5:16" x14ac:dyDescent="0.25">
      <c r="E82" s="4"/>
      <c r="F82" s="5">
        <v>10</v>
      </c>
      <c r="G82" s="4"/>
      <c r="H82" s="5">
        <v>20</v>
      </c>
      <c r="I82" s="4"/>
      <c r="J82" s="5">
        <v>30</v>
      </c>
      <c r="K82" s="4"/>
      <c r="L82" s="5">
        <v>40</v>
      </c>
      <c r="M82" s="4"/>
      <c r="N82" s="5">
        <v>50</v>
      </c>
      <c r="O82" s="4"/>
      <c r="P82" s="5">
        <v>60</v>
      </c>
    </row>
    <row r="83" spans="5:16" x14ac:dyDescent="0.25">
      <c r="E83" s="13">
        <v>100</v>
      </c>
      <c r="F83" s="3"/>
      <c r="G83" s="17">
        <f>interpiano*1.1</f>
        <v>3.74</v>
      </c>
      <c r="H83" s="3"/>
      <c r="I83" s="17">
        <f>interpiano*1.1</f>
        <v>3.74</v>
      </c>
      <c r="J83" s="3"/>
      <c r="K83" s="17">
        <f>interpiano*1.1</f>
        <v>3.74</v>
      </c>
      <c r="L83" s="3"/>
      <c r="M83" s="17">
        <f>interpiano*1.1</f>
        <v>3.74</v>
      </c>
      <c r="N83" s="3"/>
      <c r="O83" s="17">
        <f>interpiano*1.1</f>
        <v>3.74</v>
      </c>
      <c r="P83" s="7"/>
    </row>
    <row r="84" spans="5:16" x14ac:dyDescent="0.25">
      <c r="E84" s="4"/>
      <c r="F84" s="11"/>
      <c r="G84" s="5"/>
      <c r="H84" s="11"/>
      <c r="I84" s="5"/>
      <c r="J84" s="11"/>
      <c r="K84" s="5"/>
      <c r="L84" s="11"/>
      <c r="M84" s="5"/>
      <c r="N84" s="11"/>
      <c r="O84" s="5"/>
      <c r="P84" s="10"/>
    </row>
    <row r="85" spans="5:16" x14ac:dyDescent="0.25">
      <c r="E85" s="14">
        <v>300</v>
      </c>
      <c r="F85" s="3"/>
      <c r="G85" s="17">
        <f>interpiano*1.1</f>
        <v>3.74</v>
      </c>
      <c r="H85" s="3"/>
      <c r="I85" s="17">
        <f>interpiano*1.1</f>
        <v>3.74</v>
      </c>
      <c r="J85" s="3"/>
      <c r="K85" s="17">
        <f>interpiano*1.1</f>
        <v>3.74</v>
      </c>
      <c r="L85" s="3"/>
      <c r="M85" s="17">
        <f>interpiano*1.1</f>
        <v>3.74</v>
      </c>
      <c r="N85" s="3"/>
      <c r="O85" s="17">
        <f>interpiano*1.1</f>
        <v>3.74</v>
      </c>
      <c r="P85" s="7"/>
    </row>
    <row r="86" spans="5:16" x14ac:dyDescent="0.25">
      <c r="G86" s="5"/>
      <c r="H86" s="11"/>
      <c r="I86" s="5"/>
      <c r="J86" s="11"/>
      <c r="K86" s="5"/>
      <c r="L86" s="11"/>
      <c r="M86" s="5"/>
      <c r="N86" s="11"/>
      <c r="O86" s="5"/>
    </row>
  </sheetData>
  <sortState xmlns:xlrd2="http://schemas.microsoft.com/office/spreadsheetml/2017/richdata2" ref="AV52:AV71">
    <sortCondition ref="AV52"/>
  </sortState>
  <mergeCells count="7">
    <mergeCell ref="BV6:CG6"/>
    <mergeCell ref="BV7:BZ7"/>
    <mergeCell ref="CC7:CG7"/>
    <mergeCell ref="BV8:BW8"/>
    <mergeCell ref="BY8:BZ8"/>
    <mergeCell ref="CF8:CG8"/>
    <mergeCell ref="CC8:CD8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D1F1E-17A1-4B25-AE36-C57E55DACAB6}">
  <sheetPr codeName="Sheet3"/>
  <dimension ref="D1:BD123"/>
  <sheetViews>
    <sheetView workbookViewId="0">
      <selection activeCell="K4" sqref="K4:K123"/>
    </sheetView>
  </sheetViews>
  <sheetFormatPr defaultRowHeight="15" x14ac:dyDescent="0.25"/>
  <cols>
    <col min="9" max="9" width="9.28515625" customWidth="1"/>
  </cols>
  <sheetData>
    <row r="1" spans="4:55" x14ac:dyDescent="0.25">
      <c r="AU1" s="26" t="s">
        <v>38</v>
      </c>
      <c r="AV1" s="26"/>
      <c r="AW1" s="26"/>
      <c r="AX1" s="26"/>
      <c r="AZ1" s="26" t="s">
        <v>39</v>
      </c>
      <c r="BA1" s="26"/>
      <c r="BB1" s="26"/>
      <c r="BC1" s="26"/>
    </row>
    <row r="2" spans="4:55" x14ac:dyDescent="0.25">
      <c r="X2" t="s">
        <v>34</v>
      </c>
      <c r="AG2" t="s">
        <v>33</v>
      </c>
      <c r="AN2" t="s">
        <v>47</v>
      </c>
      <c r="AR2" t="s">
        <v>48</v>
      </c>
      <c r="AU2" t="s">
        <v>31</v>
      </c>
    </row>
    <row r="3" spans="4:55" x14ac:dyDescent="0.25">
      <c r="R3" t="s">
        <v>52</v>
      </c>
      <c r="S3" t="str">
        <f>Input!G15</f>
        <v>A</v>
      </c>
      <c r="AU3" t="s">
        <v>45</v>
      </c>
      <c r="AW3" t="s">
        <v>46</v>
      </c>
      <c r="AZ3" t="s">
        <v>45</v>
      </c>
      <c r="BB3" t="s">
        <v>46</v>
      </c>
    </row>
    <row r="4" spans="4:55" x14ac:dyDescent="0.25">
      <c r="D4" t="str">
        <f>AG4</f>
        <v>MP,EX,101,258610000</v>
      </c>
      <c r="G4" t="str">
        <f>X4</f>
        <v>SECTYPE,101,LINK</v>
      </c>
      <c r="K4" t="str">
        <f>AN4</f>
        <v>TYPE,3, $MAT,101, $SECNUM,101</v>
      </c>
      <c r="X4" t="str">
        <f>IF(Puntoni!AX30="","!",_xlfn.CONCAT("SECTYPE,",Puntoni!AW30,",LINK"))</f>
        <v>SECTYPE,101,LINK</v>
      </c>
      <c r="AA4" t="str">
        <f>IF(Puntoni!AX30="","!",_xlfn.CONCAT("SECDATA,",Input!$L$33*Puntoni!AX30))</f>
        <v>SECDATA,0.0037</v>
      </c>
      <c r="AD4" t="str">
        <f>IF(AG4="!","!","SECCONTROL,,-1")</f>
        <v>SECCONTROL,,-1</v>
      </c>
      <c r="AG4" t="str">
        <f>IF(Puntoni!AV52="","!",_xlfn.CONCAT("MP,EX,",Puntoni!AU52,",",Puntoni!AV52*10^6))</f>
        <v>MP,EX,101,258610000</v>
      </c>
      <c r="AI4" t="str">
        <f>IF(AG4="!","!",_xlfn.CONCAT("MP,PRXY,",Puntoni!AW30,",","0.3"))</f>
        <v>MP,PRXY,101,0.3</v>
      </c>
      <c r="AK4" t="str">
        <f>IF(AG4="!","!",_xlfn.CONCAT("MP,DENS,",Puntoni!AW30,",0"))</f>
        <v>MP,DENS,101,0</v>
      </c>
      <c r="AN4" t="str">
        <f>_xlfn.CONCAT("TYPE,3, $MAT,",Puntoni!BQ52,", $SECNUM,",Puntoni!BP30)</f>
        <v>TYPE,3, $MAT,101, $SECNUM,101</v>
      </c>
      <c r="AR4" t="str">
        <f>_xlfn.CONCAT("NUMSTR,ELEM",",",Puntoni!BH9)</f>
        <v>NUMSTR,ELEM,19210</v>
      </c>
      <c r="AU4" t="str">
        <f>_xlfn.CONCAT("E,",Puntoni!BV9,",",Puntoni!BW9)</f>
        <v>E,10210,10221</v>
      </c>
      <c r="AW4" s="20" t="str">
        <f>_xlfn.CONCAT("E,",Puntoni!BY9,",",Puntoni!BZ9)</f>
        <v>E,10220,12214</v>
      </c>
      <c r="AZ4" t="str">
        <f>_xlfn.CONCAT("E,",Puntoni!CC9,",",Puntoni!CD9)</f>
        <v>E,12214,20221</v>
      </c>
      <c r="BB4" s="20" t="str">
        <f>_xlfn.CONCAT("E,",Puntoni!CF9,",",Puntoni!CG9)</f>
        <v>E,10221,22214</v>
      </c>
    </row>
    <row r="5" spans="4:55" x14ac:dyDescent="0.25">
      <c r="D5" t="str">
        <f>AI4</f>
        <v>MP,PRXY,101,0.3</v>
      </c>
      <c r="G5" t="str">
        <f>AA4</f>
        <v>SECDATA,0.0037</v>
      </c>
      <c r="K5" t="str">
        <f>AR4</f>
        <v>NUMSTR,ELEM,19210</v>
      </c>
      <c r="X5" s="20" t="str">
        <f>IF(Puntoni!AX31="","!",_xlfn.CONCAT("SECTYPE,",Puntoni!AW31,",LINK"))</f>
        <v>SECTYPE,102,LINK</v>
      </c>
      <c r="AA5" s="20" t="str">
        <f>IF(Puntoni!AX31="","!",_xlfn.CONCAT("SECDATA,",Input!$L$33*Puntoni!AX31))</f>
        <v>SECDATA,0.100875</v>
      </c>
      <c r="AD5" t="str">
        <f t="shared" ref="AD5:AD23" si="0">IF(AG5="!","!","SECCONTROL,,-1")</f>
        <v>SECCONTROL,,-1</v>
      </c>
      <c r="AG5" s="20" t="str">
        <f>IF(Puntoni!AV53="","!",_xlfn.CONCAT("MP,EX,",Puntoni!AU53,",",Puntoni!AV53*10^6))</f>
        <v>MP,EX,102,513930000</v>
      </c>
      <c r="AI5" t="str">
        <f>IF(AG5="!","!",_xlfn.CONCAT("MP,PRXY,",Puntoni!AW31,",","0.3"))</f>
        <v>MP,PRXY,102,0.3</v>
      </c>
      <c r="AK5" t="str">
        <f>IF(AG5="!","!",_xlfn.CONCAT("MP,DENS,",Puntoni!AW31,",0"))</f>
        <v>MP,DENS,102,0</v>
      </c>
      <c r="AN5" t="str">
        <f>_xlfn.CONCAT("TYPE,3, $MAT,",Puntoni!BQ53,", $SECNUM,",Puntoni!BP31)</f>
        <v>TYPE,3, $MAT,103, $SECNUM,102</v>
      </c>
      <c r="AR5" s="20" t="str">
        <f>_xlfn.CONCAT("NUMSTR,ELEM",",",Puntoni!BH10)</f>
        <v>NUMSTR,ELEM,19220</v>
      </c>
      <c r="AU5" t="str">
        <f>_xlfn.CONCAT("E,",Puntoni!BV10,",",Puntoni!BW10)</f>
        <v>E,10220,10231</v>
      </c>
      <c r="AW5" s="20" t="str">
        <f>_xlfn.CONCAT("E,",Puntoni!BY10,",",Puntoni!BZ10)</f>
        <v>E,10230,10221</v>
      </c>
      <c r="AZ5" t="str">
        <f>_xlfn.CONCAT("E,",Puntoni!CC10,",",Puntoni!CD10)</f>
        <v>E,10221,20231</v>
      </c>
      <c r="BB5" s="20" t="str">
        <f>_xlfn.CONCAT("E,",Puntoni!CF10,",",Puntoni!CG10)</f>
        <v>E,10231,20221</v>
      </c>
    </row>
    <row r="6" spans="4:55" x14ac:dyDescent="0.25">
      <c r="D6" t="str">
        <f>AK4</f>
        <v>MP,DENS,101,0</v>
      </c>
      <c r="G6" t="str">
        <f>AD4</f>
        <v>SECCONTROL,,-1</v>
      </c>
      <c r="K6" t="str">
        <f>AU4</f>
        <v>E,10210,10221</v>
      </c>
      <c r="X6" s="20" t="str">
        <f>IF(Puntoni!AX32="","!",_xlfn.CONCAT("SECTYPE,",Puntoni!AW32,",LINK"))</f>
        <v>SECTYPE,103,LINK</v>
      </c>
      <c r="AA6" s="20" t="str">
        <f>IF(Puntoni!AX32="","!",_xlfn.CONCAT("SECDATA,",Input!$L$33*Puntoni!AX32))</f>
        <v>SECDATA,0.200125</v>
      </c>
      <c r="AD6" t="str">
        <f t="shared" si="0"/>
        <v>SECCONTROL,,-1</v>
      </c>
      <c r="AG6" s="20" t="str">
        <f>IF(Puntoni!AV54="","!",_xlfn.CONCAT("MP,EX,",Puntoni!AU54,",",Puntoni!AV54*10^6))</f>
        <v>MP,EX,103,519930000</v>
      </c>
      <c r="AI6" t="str">
        <f>IF(AG6="!","!",_xlfn.CONCAT("MP,PRXY,",Puntoni!AW32,",","0.3"))</f>
        <v>MP,PRXY,103,0.3</v>
      </c>
      <c r="AK6" t="str">
        <f>IF(AG6="!","!",_xlfn.CONCAT("MP,DENS,",Puntoni!AW32,",0"))</f>
        <v>MP,DENS,103,0</v>
      </c>
      <c r="AN6" t="str">
        <f>_xlfn.CONCAT("TYPE,3, $MAT,",Puntoni!BQ54,", $SECNUM,",Puntoni!BP32)</f>
        <v>TYPE,3, $MAT,103, $SECNUM,102</v>
      </c>
      <c r="AR6" s="20" t="str">
        <f>_xlfn.CONCAT("NUMSTR,ELEM",",",Puntoni!BH11)</f>
        <v>NUMSTR,ELEM,19230</v>
      </c>
      <c r="AU6" t="str">
        <f>_xlfn.CONCAT("E,",Puntoni!BV11,",",Puntoni!BW11)</f>
        <v>E,10230,10241</v>
      </c>
      <c r="AW6" s="20" t="str">
        <f>_xlfn.CONCAT("E,",Puntoni!BY11,",",Puntoni!BZ11)</f>
        <v>E,10240,10231</v>
      </c>
      <c r="AZ6" t="str">
        <f>_xlfn.CONCAT("E,",Puntoni!CC11,",",Puntoni!CD11)</f>
        <v>E,10231,20241</v>
      </c>
      <c r="BB6" s="20" t="str">
        <f>_xlfn.CONCAT("E,",Puntoni!CF11,",",Puntoni!CG11)</f>
        <v>E,10241,20231</v>
      </c>
    </row>
    <row r="7" spans="4:55" x14ac:dyDescent="0.25">
      <c r="D7" t="str">
        <f>AG5</f>
        <v>MP,EX,102,513930000</v>
      </c>
      <c r="G7" t="str">
        <f>X5</f>
        <v>SECTYPE,102,LINK</v>
      </c>
      <c r="K7" t="str">
        <f>AW4</f>
        <v>E,10220,12214</v>
      </c>
      <c r="X7" s="20" t="str">
        <f>IF(Puntoni!AX33="","!",_xlfn.CONCAT("SECTYPE,",Puntoni!AW33,",LINK"))</f>
        <v>!</v>
      </c>
      <c r="AA7" s="20" t="str">
        <f>IF(Puntoni!AX33="","!",_xlfn.CONCAT("SECDATA,",Input!$L$33*Puntoni!AX33))</f>
        <v>!</v>
      </c>
      <c r="AD7" t="str">
        <f t="shared" si="0"/>
        <v>!</v>
      </c>
      <c r="AG7" s="20" t="str">
        <f>IF(Puntoni!AV55="","!",_xlfn.CONCAT("MP,EX,",Puntoni!AU55,",",Puntoni!AV55*10^6))</f>
        <v>!</v>
      </c>
      <c r="AI7" t="str">
        <f>IF(AG7="!","!",_xlfn.CONCAT("MP,PRXY,",Puntoni!AW33,",","0.3"))</f>
        <v>!</v>
      </c>
      <c r="AK7" t="str">
        <f>IF(AG7="!","!",_xlfn.CONCAT("MP,DENS,",Puntoni!AW33,",0"))</f>
        <v>!</v>
      </c>
      <c r="AN7" t="str">
        <f>_xlfn.CONCAT("TYPE,3, $MAT,",Puntoni!BQ55,", $SECNUM,",Puntoni!BP33)</f>
        <v>TYPE,3, $MAT,103, $SECNUM,102</v>
      </c>
      <c r="AR7" s="20" t="str">
        <f>_xlfn.CONCAT("NUMSTR,ELEM",",",Puntoni!BH12)</f>
        <v>NUMSTR,ELEM,19240</v>
      </c>
      <c r="AU7" t="str">
        <f>_xlfn.CONCAT("E,",Puntoni!BV12,",",Puntoni!BW12)</f>
        <v>E,10240,10251</v>
      </c>
      <c r="AW7" s="20" t="str">
        <f>_xlfn.CONCAT("E,",Puntoni!BY12,",",Puntoni!BZ12)</f>
        <v>E,10250,10241</v>
      </c>
      <c r="AZ7" t="str">
        <f>_xlfn.CONCAT("E,",Puntoni!CC12,",",Puntoni!CD12)</f>
        <v>E,10241,20251</v>
      </c>
      <c r="BB7" s="20" t="str">
        <f>_xlfn.CONCAT("E,",Puntoni!CF12,",",Puntoni!CG12)</f>
        <v>E,10251,20241</v>
      </c>
    </row>
    <row r="8" spans="4:55" x14ac:dyDescent="0.25">
      <c r="D8" t="str">
        <f>AI5</f>
        <v>MP,PRXY,102,0.3</v>
      </c>
      <c r="G8" t="str">
        <f>AA5</f>
        <v>SECDATA,0.100875</v>
      </c>
      <c r="K8" t="str">
        <f>AZ4</f>
        <v>E,12214,20221</v>
      </c>
      <c r="X8" s="20" t="str">
        <f>IF(Puntoni!AX34="","!",_xlfn.CONCAT("SECTYPE,",Puntoni!AW34,",LINK"))</f>
        <v>!</v>
      </c>
      <c r="AA8" s="20" t="str">
        <f>IF(Puntoni!AX34="","!",_xlfn.CONCAT("SECDATA,",Input!$L$33*Puntoni!AX34))</f>
        <v>!</v>
      </c>
      <c r="AD8" t="str">
        <f t="shared" si="0"/>
        <v>!</v>
      </c>
      <c r="AG8" s="20" t="str">
        <f>IF(Puntoni!AV56="","!",_xlfn.CONCAT("MP,EX,",Puntoni!AU56,",",Puntoni!AV56*10^6))</f>
        <v>!</v>
      </c>
      <c r="AI8" t="str">
        <f>IF(AG8="!","!",_xlfn.CONCAT("MP,PRXY,",Puntoni!AW34,",","0.3"))</f>
        <v>!</v>
      </c>
      <c r="AK8" t="str">
        <f>IF(AG8="!","!",_xlfn.CONCAT("MP,DENS,",Puntoni!AW34,",0"))</f>
        <v>!</v>
      </c>
      <c r="AN8" t="str">
        <f>_xlfn.CONCAT("TYPE,3, $MAT,",Puntoni!BQ56,", $SECNUM,",Puntoni!BP34)</f>
        <v>TYPE,3, $MAT,103, $SECNUM,102</v>
      </c>
      <c r="AR8" s="20" t="str">
        <f>_xlfn.CONCAT("NUMSTR,ELEM",",",Puntoni!BH13)</f>
        <v>NUMSTR,ELEM,19250</v>
      </c>
      <c r="AU8" t="str">
        <f>_xlfn.CONCAT("E,",Puntoni!BV13,",",Puntoni!BW13)</f>
        <v>E,10250,10261</v>
      </c>
      <c r="AW8" s="20" t="str">
        <f>_xlfn.CONCAT("E,",Puntoni!BY13,",",Puntoni!BZ13)</f>
        <v>E,10260,10251</v>
      </c>
      <c r="AZ8" t="str">
        <f>_xlfn.CONCAT("E,",Puntoni!CC13,",",Puntoni!CD13)</f>
        <v>E,10251,20261</v>
      </c>
      <c r="BB8" s="20" t="str">
        <f>_xlfn.CONCAT("E,",Puntoni!CF13,",",Puntoni!CG13)</f>
        <v>E,10261,20251</v>
      </c>
    </row>
    <row r="9" spans="4:55" x14ac:dyDescent="0.25">
      <c r="D9" t="str">
        <f>AK5</f>
        <v>MP,DENS,102,0</v>
      </c>
      <c r="G9" t="str">
        <f>AD5</f>
        <v>SECCONTROL,,-1</v>
      </c>
      <c r="K9" t="str">
        <f>BB4</f>
        <v>E,10221,22214</v>
      </c>
      <c r="X9" s="20" t="str">
        <f>IF(Puntoni!AX35="","!",_xlfn.CONCAT("SECTYPE,",Puntoni!AW35,",LINK"))</f>
        <v>!</v>
      </c>
      <c r="AA9" s="20" t="str">
        <f>IF(Puntoni!AX35="","!",_xlfn.CONCAT("SECDATA,",Input!$L$33*Puntoni!AX35))</f>
        <v>!</v>
      </c>
      <c r="AD9" t="str">
        <f t="shared" si="0"/>
        <v>!</v>
      </c>
      <c r="AG9" s="20" t="str">
        <f>IF(Puntoni!AV57="","!",_xlfn.CONCAT("MP,EX,",Puntoni!AU57,",",Puntoni!AV57*10^6))</f>
        <v>!</v>
      </c>
      <c r="AI9" t="str">
        <f>IF(AG9="!","!",_xlfn.CONCAT("MP,PRXY,",Puntoni!AW35,",","0.3"))</f>
        <v>!</v>
      </c>
      <c r="AK9" t="str">
        <f>IF(AG9="!","!",_xlfn.CONCAT("MP,DENS,",Puntoni!AW35,",0"))</f>
        <v>!</v>
      </c>
      <c r="AN9" t="str">
        <f>_xlfn.CONCAT("TYPE,3, $MAT,",Puntoni!BQ57,", $SECNUM,",Puntoni!BP35)</f>
        <v>TYPE,3, $MAT,101, $SECNUM,101</v>
      </c>
      <c r="AR9" s="20" t="str">
        <f>_xlfn.CONCAT("NUMSTR,ELEM",",",Puntoni!BH14)</f>
        <v>NUMSTR,ELEM,19310</v>
      </c>
      <c r="AU9" t="str">
        <f>_xlfn.CONCAT("E,",Puntoni!BV14,",",Puntoni!BW14)</f>
        <v>E,10310,10321</v>
      </c>
      <c r="AW9" s="20" t="str">
        <f>_xlfn.CONCAT("E,",Puntoni!BY14,",",Puntoni!BZ14)</f>
        <v>E,10320,12314</v>
      </c>
      <c r="AZ9" t="str">
        <f>_xlfn.CONCAT("E,",Puntoni!CC14,",",Puntoni!CD14)</f>
        <v>E,12314,20321</v>
      </c>
      <c r="BB9" s="20" t="str">
        <f>_xlfn.CONCAT("E,",Puntoni!CF14,",",Puntoni!CG14)</f>
        <v>E,10321,22314</v>
      </c>
    </row>
    <row r="10" spans="4:55" x14ac:dyDescent="0.25">
      <c r="D10" t="str">
        <f>AG6</f>
        <v>MP,EX,103,519930000</v>
      </c>
      <c r="G10" t="str">
        <f>X6</f>
        <v>SECTYPE,103,LINK</v>
      </c>
      <c r="K10" t="str">
        <f>AN5</f>
        <v>TYPE,3, $MAT,103, $SECNUM,102</v>
      </c>
      <c r="X10" s="20" t="str">
        <f>IF(Puntoni!AX36="","!",_xlfn.CONCAT("SECTYPE,",Puntoni!AW36,",LINK"))</f>
        <v>!</v>
      </c>
      <c r="AA10" s="20" t="str">
        <f>IF(Puntoni!AX36="","!",_xlfn.CONCAT("SECDATA,",Input!$L$33*Puntoni!AX36))</f>
        <v>!</v>
      </c>
      <c r="AD10" t="str">
        <f t="shared" si="0"/>
        <v>!</v>
      </c>
      <c r="AG10" s="20" t="str">
        <f>IF(Puntoni!AV58="","!",_xlfn.CONCAT("MP,EX,",Puntoni!AU58,",",Puntoni!AV58*10^6))</f>
        <v>!</v>
      </c>
      <c r="AI10" t="str">
        <f>IF(AG10="!","!",_xlfn.CONCAT("MP,PRXY,",Puntoni!AW36,",","0.3"))</f>
        <v>!</v>
      </c>
      <c r="AK10" t="str">
        <f>IF(AG10="!","!",_xlfn.CONCAT("MP,DENS,",Puntoni!AW36,",0"))</f>
        <v>!</v>
      </c>
      <c r="AN10" t="str">
        <f>_xlfn.CONCAT("TYPE,3, $MAT,",Puntoni!BQ58,", $SECNUM,",Puntoni!BP36)</f>
        <v>TYPE,3, $MAT,103, $SECNUM,102</v>
      </c>
      <c r="AR10" s="20" t="str">
        <f>_xlfn.CONCAT("NUMSTR,ELEM",",",Puntoni!BH15)</f>
        <v>NUMSTR,ELEM,19320</v>
      </c>
      <c r="AU10" t="str">
        <f>_xlfn.CONCAT("E,",Puntoni!BV15,",",Puntoni!BW15)</f>
        <v>E,10320,10331</v>
      </c>
      <c r="AW10" s="20" t="str">
        <f>_xlfn.CONCAT("E,",Puntoni!BY15,",",Puntoni!BZ15)</f>
        <v>E,10330,10321</v>
      </c>
      <c r="AZ10" t="str">
        <f>_xlfn.CONCAT("E,",Puntoni!CC15,",",Puntoni!CD15)</f>
        <v>E,10321,20331</v>
      </c>
      <c r="BB10" s="20" t="str">
        <f>_xlfn.CONCAT("E,",Puntoni!CF15,",",Puntoni!CG15)</f>
        <v>E,10331,20321</v>
      </c>
    </row>
    <row r="11" spans="4:55" x14ac:dyDescent="0.25">
      <c r="D11" t="str">
        <f>AI6</f>
        <v>MP,PRXY,103,0.3</v>
      </c>
      <c r="G11" t="str">
        <f>AA6</f>
        <v>SECDATA,0.200125</v>
      </c>
      <c r="K11" t="str">
        <f>AR5</f>
        <v>NUMSTR,ELEM,19220</v>
      </c>
      <c r="X11" s="20" t="str">
        <f>IF(Puntoni!AX37="","!",_xlfn.CONCAT("SECTYPE,",Puntoni!AW37,",LINK"))</f>
        <v>!</v>
      </c>
      <c r="AA11" s="20" t="str">
        <f>IF(Puntoni!AX37="","!",_xlfn.CONCAT("SECDATA,",Input!$L$33*Puntoni!AX37))</f>
        <v>!</v>
      </c>
      <c r="AD11" t="str">
        <f t="shared" si="0"/>
        <v>!</v>
      </c>
      <c r="AG11" s="20" t="str">
        <f>IF(Puntoni!AV59="","!",_xlfn.CONCAT("MP,EX,",Puntoni!AU59,",",Puntoni!AV59*10^6))</f>
        <v>!</v>
      </c>
      <c r="AI11" t="str">
        <f>IF(AG11="!","!",_xlfn.CONCAT("MP,PRXY,",Puntoni!AW37,",","0.3"))</f>
        <v>!</v>
      </c>
      <c r="AK11" t="str">
        <f>IF(AG11="!","!",_xlfn.CONCAT("MP,DENS,",Puntoni!AW37,",0"))</f>
        <v>!</v>
      </c>
      <c r="AN11" t="str">
        <f>_xlfn.CONCAT("TYPE,3, $MAT,",Puntoni!BQ59,", $SECNUM,",Puntoni!BP37)</f>
        <v>TYPE,3, $MAT,103, $SECNUM,102</v>
      </c>
      <c r="AR11" s="20" t="str">
        <f>_xlfn.CONCAT("NUMSTR,ELEM",",",Puntoni!BH16)</f>
        <v>NUMSTR,ELEM,19330</v>
      </c>
      <c r="AU11" t="str">
        <f>_xlfn.CONCAT("E,",Puntoni!BV16,",",Puntoni!BW16)</f>
        <v>E,10330,10341</v>
      </c>
      <c r="AW11" s="20" t="str">
        <f>_xlfn.CONCAT("E,",Puntoni!BY16,",",Puntoni!BZ16)</f>
        <v>E,10340,10331</v>
      </c>
      <c r="AZ11" t="str">
        <f>_xlfn.CONCAT("E,",Puntoni!CC16,",",Puntoni!CD16)</f>
        <v>E,10331,20341</v>
      </c>
      <c r="BB11" s="20" t="str">
        <f>_xlfn.CONCAT("E,",Puntoni!CF16,",",Puntoni!CG16)</f>
        <v>E,10341,20331</v>
      </c>
    </row>
    <row r="12" spans="4:55" x14ac:dyDescent="0.25">
      <c r="D12" t="str">
        <f>AK6</f>
        <v>MP,DENS,103,0</v>
      </c>
      <c r="G12" t="str">
        <f>AD6</f>
        <v>SECCONTROL,,-1</v>
      </c>
      <c r="K12" t="str">
        <f>AU5</f>
        <v>E,10220,10231</v>
      </c>
      <c r="X12" s="20" t="str">
        <f>IF(Puntoni!AX38="","!",_xlfn.CONCAT("SECTYPE,",Puntoni!AW38,",LINK"))</f>
        <v>!</v>
      </c>
      <c r="AA12" s="20" t="str">
        <f>IF(Puntoni!AX38="","!",_xlfn.CONCAT("SECDATA,",Input!$L$33*Puntoni!AX38))</f>
        <v>!</v>
      </c>
      <c r="AD12" t="str">
        <f t="shared" si="0"/>
        <v>!</v>
      </c>
      <c r="AG12" s="20" t="str">
        <f>IF(Puntoni!AV60="","!",_xlfn.CONCAT("MP,EX,",Puntoni!AU60,",",Puntoni!AV60*10^6))</f>
        <v>!</v>
      </c>
      <c r="AI12" t="str">
        <f>IF(AG12="!","!",_xlfn.CONCAT("MP,PRXY,",Puntoni!AW38,",","0.3"))</f>
        <v>!</v>
      </c>
      <c r="AK12" t="str">
        <f>IF(AG12="!","!",_xlfn.CONCAT("MP,DENS,",Puntoni!AW38,",0"))</f>
        <v>!</v>
      </c>
      <c r="AN12" t="str">
        <f>_xlfn.CONCAT("TYPE,3, $MAT,",Puntoni!BQ60,", $SECNUM,",Puntoni!BP38)</f>
        <v>TYPE,3, $MAT,103, $SECNUM,102</v>
      </c>
      <c r="AR12" s="20" t="str">
        <f>_xlfn.CONCAT("NUMSTR,ELEM",",",Puntoni!BH17)</f>
        <v>NUMSTR,ELEM,19340</v>
      </c>
      <c r="AU12" t="str">
        <f>_xlfn.CONCAT("E,",Puntoni!BV17,",",Puntoni!BW17)</f>
        <v>E,10340,10351</v>
      </c>
      <c r="AW12" s="20" t="str">
        <f>_xlfn.CONCAT("E,",Puntoni!BY17,",",Puntoni!BZ17)</f>
        <v>E,10350,10341</v>
      </c>
      <c r="AZ12" t="str">
        <f>_xlfn.CONCAT("E,",Puntoni!CC17,",",Puntoni!CD17)</f>
        <v>E,10341,20351</v>
      </c>
      <c r="BB12" s="20" t="str">
        <f>_xlfn.CONCAT("E,",Puntoni!CF17,",",Puntoni!CG17)</f>
        <v>E,10351,20341</v>
      </c>
    </row>
    <row r="13" spans="4:55" x14ac:dyDescent="0.25">
      <c r="D13" t="str">
        <f>AG7</f>
        <v>!</v>
      </c>
      <c r="G13" t="str">
        <f>X7</f>
        <v>!</v>
      </c>
      <c r="K13" t="str">
        <f>AW5</f>
        <v>E,10230,10221</v>
      </c>
      <c r="X13" s="20" t="str">
        <f>IF(Puntoni!AX39="","!",_xlfn.CONCAT("SECTYPE,",Puntoni!AW39,",LINK"))</f>
        <v>!</v>
      </c>
      <c r="AA13" s="20" t="str">
        <f>IF(Puntoni!AX39="","!",_xlfn.CONCAT("SECDATA,",Input!$L$33*Puntoni!AX39))</f>
        <v>!</v>
      </c>
      <c r="AD13" t="str">
        <f t="shared" si="0"/>
        <v>!</v>
      </c>
      <c r="AG13" s="20" t="str">
        <f>IF(Puntoni!AV61="","!",_xlfn.CONCAT("MP,EX,",Puntoni!AU61,",",Puntoni!AV61*10^6))</f>
        <v>!</v>
      </c>
      <c r="AI13" t="str">
        <f>IF(AG13="!","!",_xlfn.CONCAT("MP,PRXY,",Puntoni!AW39,",","0.3"))</f>
        <v>!</v>
      </c>
      <c r="AK13" t="str">
        <f>IF(AG13="!","!",_xlfn.CONCAT("MP,DENS,",Puntoni!AW39,",0"))</f>
        <v>!</v>
      </c>
      <c r="AN13" t="str">
        <f>_xlfn.CONCAT("TYPE,3, $MAT,",Puntoni!BQ61,", $SECNUM,",Puntoni!BP39)</f>
        <v>TYPE,3, $MAT,103, $SECNUM,102</v>
      </c>
      <c r="AR13" s="20" t="str">
        <f>_xlfn.CONCAT("NUMSTR,ELEM",",",Puntoni!BH18)</f>
        <v>NUMSTR,ELEM,19350</v>
      </c>
      <c r="AU13" t="str">
        <f>_xlfn.CONCAT("E,",Puntoni!BV18,",",Puntoni!BW18)</f>
        <v>E,10350,10361</v>
      </c>
      <c r="AW13" s="20" t="str">
        <f>_xlfn.CONCAT("E,",Puntoni!BY18,",",Puntoni!BZ18)</f>
        <v>E,10360,10351</v>
      </c>
      <c r="AZ13" t="str">
        <f>_xlfn.CONCAT("E,",Puntoni!CC18,",",Puntoni!CD18)</f>
        <v>E,10351,20361</v>
      </c>
      <c r="BB13" s="20" t="str">
        <f>_xlfn.CONCAT("E,",Puntoni!CF18,",",Puntoni!CG18)</f>
        <v>E,10361,20351</v>
      </c>
    </row>
    <row r="14" spans="4:55" x14ac:dyDescent="0.25">
      <c r="D14" t="str">
        <f>AI7</f>
        <v>!</v>
      </c>
      <c r="G14" t="str">
        <f>AA7</f>
        <v>!</v>
      </c>
      <c r="K14" t="str">
        <f>AZ5</f>
        <v>E,10221,20231</v>
      </c>
      <c r="X14" s="20" t="str">
        <f>IF(Puntoni!AX40="","!",_xlfn.CONCAT("SECTYPE,",Puntoni!AW40,",LINK"))</f>
        <v>!</v>
      </c>
      <c r="AA14" s="20" t="str">
        <f>IF(Puntoni!AX40="","!",_xlfn.CONCAT("SECDATA,",Input!$L$33*Puntoni!AX40))</f>
        <v>!</v>
      </c>
      <c r="AD14" t="str">
        <f t="shared" si="0"/>
        <v>!</v>
      </c>
      <c r="AG14" s="20" t="str">
        <f>IF(Puntoni!AV62="","!",_xlfn.CONCAT("MP,EX,",Puntoni!AU62,",",Puntoni!AV62*10^6))</f>
        <v>!</v>
      </c>
      <c r="AI14" t="str">
        <f>IF(AG14="!","!",_xlfn.CONCAT("MP,PRXY,",Puntoni!AW40,",","0.3"))</f>
        <v>!</v>
      </c>
      <c r="AK14" t="str">
        <f>IF(AG14="!","!",_xlfn.CONCAT("MP,DENS,",Puntoni!AW40,",0"))</f>
        <v>!</v>
      </c>
      <c r="AN14" t="str">
        <f>_xlfn.CONCAT("TYPE,3, $MAT,",Puntoni!BQ62,", $SECNUM,",Puntoni!BP40)</f>
        <v>TYPE,3, $MAT,102, $SECNUM,103</v>
      </c>
      <c r="AR14" s="20" t="str">
        <f>_xlfn.CONCAT("NUMSTR,ELEM",",",Puntoni!BH19)</f>
        <v>NUMSTR,ELEM,19510</v>
      </c>
      <c r="AU14" t="str">
        <f>_xlfn.CONCAT("E,",Puntoni!BV19,",",Puntoni!BW19)</f>
        <v>E,10120,10221</v>
      </c>
      <c r="AW14" s="20" t="str">
        <f>_xlfn.CONCAT("E,",Puntoni!BY19,",",Puntoni!BZ19)</f>
        <v>E,10220,10121</v>
      </c>
      <c r="AZ14" t="str">
        <f>_xlfn.CONCAT("E,",Puntoni!CC19,",",Puntoni!CD19)</f>
        <v>E,10121,20221</v>
      </c>
      <c r="BB14" s="20" t="str">
        <f>_xlfn.CONCAT("E,",Puntoni!CF19,",",Puntoni!CG19)</f>
        <v>E,10221,20121</v>
      </c>
    </row>
    <row r="15" spans="4:55" x14ac:dyDescent="0.25">
      <c r="D15" t="str">
        <f>AK7</f>
        <v>!</v>
      </c>
      <c r="G15" t="str">
        <f>AD7</f>
        <v>!</v>
      </c>
      <c r="K15" t="str">
        <f>BB5</f>
        <v>E,10231,20221</v>
      </c>
      <c r="X15" s="20" t="str">
        <f>IF(Puntoni!AX41="","!",_xlfn.CONCAT("SECTYPE,",Puntoni!AW41,",LINK"))</f>
        <v>!</v>
      </c>
      <c r="AA15" s="20" t="str">
        <f>IF(Puntoni!AX41="","!",_xlfn.CONCAT("SECDATA,",Input!$L$33*Puntoni!AX41))</f>
        <v>!</v>
      </c>
      <c r="AD15" t="str">
        <f t="shared" si="0"/>
        <v>!</v>
      </c>
      <c r="AG15" s="20" t="str">
        <f>IF(Puntoni!AV63="","!",_xlfn.CONCAT("MP,EX,",Puntoni!AU63,",",Puntoni!AV63*10^6))</f>
        <v>!</v>
      </c>
      <c r="AI15" t="str">
        <f>IF(AG15="!","!",_xlfn.CONCAT("MP,PRXY,",Puntoni!AW41,",","0.3"))</f>
        <v>!</v>
      </c>
      <c r="AK15" t="str">
        <f>IF(AG15="!","!",_xlfn.CONCAT("MP,DENS,",Puntoni!AW41,",0"))</f>
        <v>!</v>
      </c>
      <c r="AN15" t="str">
        <f>_xlfn.CONCAT("TYPE,3, $MAT,",Puntoni!BQ63,", $SECNUM,",Puntoni!BP41)</f>
        <v>TYPE,3, $MAT,102, $SECNUM,103</v>
      </c>
      <c r="AR15" s="20" t="str">
        <f>_xlfn.CONCAT("NUMSTR,ELEM",",",Puntoni!BH20)</f>
        <v>NUMSTR,ELEM,19520</v>
      </c>
      <c r="AU15" t="str">
        <f>_xlfn.CONCAT("E,",Puntoni!BV20,",",Puntoni!BW20)</f>
        <v>E,10130,10231</v>
      </c>
      <c r="AW15" s="20" t="str">
        <f>_xlfn.CONCAT("E,",Puntoni!BY20,",",Puntoni!BZ20)</f>
        <v>E,10230,10131</v>
      </c>
      <c r="AZ15" t="str">
        <f>_xlfn.CONCAT("E,",Puntoni!CC20,",",Puntoni!CD20)</f>
        <v>E,10131,20231</v>
      </c>
      <c r="BB15" s="20" t="str">
        <f>_xlfn.CONCAT("E,",Puntoni!CF20,",",Puntoni!CG20)</f>
        <v>E,10231,20131</v>
      </c>
    </row>
    <row r="16" spans="4:55" x14ac:dyDescent="0.25">
      <c r="D16" t="str">
        <f>AG8</f>
        <v>!</v>
      </c>
      <c r="G16" t="str">
        <f>X8</f>
        <v>!</v>
      </c>
      <c r="K16" t="str">
        <f>AN6</f>
        <v>TYPE,3, $MAT,103, $SECNUM,102</v>
      </c>
      <c r="X16" s="20" t="str">
        <f>IF(Puntoni!AX42="","!",_xlfn.CONCAT("SECTYPE,",Puntoni!AW42,",LINK"))</f>
        <v>!</v>
      </c>
      <c r="AA16" s="20" t="str">
        <f>IF(Puntoni!AX42="","!",_xlfn.CONCAT("SECDATA,",Input!$L$33*Puntoni!AX42))</f>
        <v>!</v>
      </c>
      <c r="AD16" t="str">
        <f t="shared" si="0"/>
        <v>!</v>
      </c>
      <c r="AG16" s="20" t="str">
        <f>IF(Puntoni!AV64="","!",_xlfn.CONCAT("MP,EX,",Puntoni!AU64,",",Puntoni!AV64*10^6))</f>
        <v>!</v>
      </c>
      <c r="AI16" t="str">
        <f>IF(AG16="!","!",_xlfn.CONCAT("MP,PRXY,",Puntoni!AW42,",","0.3"))</f>
        <v>!</v>
      </c>
      <c r="AK16" t="str">
        <f>IF(AG16="!","!",_xlfn.CONCAT("MP,DENS,",Puntoni!AW42,",0"))</f>
        <v>!</v>
      </c>
      <c r="AN16" t="str">
        <f>_xlfn.CONCAT("TYPE,3, $MAT,",Puntoni!BQ64,", $SECNUM,",Puntoni!BP42)</f>
        <v>TYPE,3, $MAT,102, $SECNUM,103</v>
      </c>
      <c r="AR16" s="20" t="str">
        <f>_xlfn.CONCAT("NUMSTR,ELEM",",",Puntoni!BH21)</f>
        <v>NUMSTR,ELEM,19530</v>
      </c>
      <c r="AU16" t="str">
        <f>_xlfn.CONCAT("E,",Puntoni!BV21,",",Puntoni!BW21)</f>
        <v>E,10140,10241</v>
      </c>
      <c r="AW16" s="20" t="str">
        <f>_xlfn.CONCAT("E,",Puntoni!BY21,",",Puntoni!BZ21)</f>
        <v>E,10240,10141</v>
      </c>
      <c r="AZ16" t="str">
        <f>_xlfn.CONCAT("E,",Puntoni!CC21,",",Puntoni!CD21)</f>
        <v>E,10141,20241</v>
      </c>
      <c r="BB16" s="20" t="str">
        <f>_xlfn.CONCAT("E,",Puntoni!CF21,",",Puntoni!CG21)</f>
        <v>E,10241,20141</v>
      </c>
    </row>
    <row r="17" spans="4:56" x14ac:dyDescent="0.25">
      <c r="D17" t="str">
        <f>AI8</f>
        <v>!</v>
      </c>
      <c r="G17" t="str">
        <f>AA8</f>
        <v>!</v>
      </c>
      <c r="K17" t="str">
        <f>AR6</f>
        <v>NUMSTR,ELEM,19230</v>
      </c>
      <c r="X17" s="20" t="str">
        <f>IF(Puntoni!AX43="","!",_xlfn.CONCAT("SECTYPE,",Puntoni!AW43,",LINK"))</f>
        <v>!</v>
      </c>
      <c r="AA17" s="20" t="str">
        <f>IF(Puntoni!AX43="","!",_xlfn.CONCAT("SECDATA,",Input!$L$33*Puntoni!AX43))</f>
        <v>!</v>
      </c>
      <c r="AD17" t="str">
        <f t="shared" si="0"/>
        <v>!</v>
      </c>
      <c r="AG17" s="20" t="str">
        <f>IF(Puntoni!AV65="","!",_xlfn.CONCAT("MP,EX,",Puntoni!AU65,",",Puntoni!AV65*10^6))</f>
        <v>!</v>
      </c>
      <c r="AI17" t="str">
        <f>IF(AG17="!","!",_xlfn.CONCAT("MP,PRXY,",Puntoni!AW43,",","0.3"))</f>
        <v>!</v>
      </c>
      <c r="AK17" t="str">
        <f>IF(AG17="!","!",_xlfn.CONCAT("MP,DENS,",Puntoni!AW43,",0"))</f>
        <v>!</v>
      </c>
      <c r="AN17" t="str">
        <f>_xlfn.CONCAT("TYPE,3, $MAT,",Puntoni!BQ65,", $SECNUM,",Puntoni!BP43)</f>
        <v>TYPE,3, $MAT,102, $SECNUM,103</v>
      </c>
      <c r="AR17" s="20" t="str">
        <f>_xlfn.CONCAT("NUMSTR,ELEM",",",Puntoni!BH22)</f>
        <v>NUMSTR,ELEM,19540</v>
      </c>
      <c r="AU17" t="str">
        <f>_xlfn.CONCAT("E,",Puntoni!BV22,",",Puntoni!BW22)</f>
        <v>E,10150,10251</v>
      </c>
      <c r="AW17" s="20" t="str">
        <f>_xlfn.CONCAT("E,",Puntoni!BY22,",",Puntoni!BZ22)</f>
        <v>E,10250,10151</v>
      </c>
      <c r="AZ17" t="str">
        <f>_xlfn.CONCAT("E,",Puntoni!CC22,",",Puntoni!CD22)</f>
        <v>E,10151,20251</v>
      </c>
      <c r="BB17" s="20" t="str">
        <f>_xlfn.CONCAT("E,",Puntoni!CF22,",",Puntoni!CG22)</f>
        <v>E,10251,20151</v>
      </c>
    </row>
    <row r="18" spans="4:56" x14ac:dyDescent="0.25">
      <c r="D18" t="str">
        <f>AK8</f>
        <v>!</v>
      </c>
      <c r="G18" t="str">
        <f>AD8</f>
        <v>!</v>
      </c>
      <c r="K18" t="str">
        <f>AU6</f>
        <v>E,10230,10241</v>
      </c>
      <c r="X18" s="20" t="str">
        <f>IF(Puntoni!AX44="","!",_xlfn.CONCAT("SECTYPE,",Puntoni!AW44,",LINK"))</f>
        <v>!</v>
      </c>
      <c r="AA18" s="20" t="str">
        <f>IF(Puntoni!AX44="","!",_xlfn.CONCAT("SECDATA,",Input!$L$33*Puntoni!AX44))</f>
        <v>!</v>
      </c>
      <c r="AD18" t="str">
        <f t="shared" si="0"/>
        <v>!</v>
      </c>
      <c r="AG18" s="20" t="str">
        <f>IF(Puntoni!AV66="","!",_xlfn.CONCAT("MP,EX,",Puntoni!AU66,",",Puntoni!AV66*10^6))</f>
        <v>!</v>
      </c>
      <c r="AI18" t="str">
        <f>IF(AG18="!","!",_xlfn.CONCAT("MP,PRXY,",Puntoni!AW44,",","0.3"))</f>
        <v>!</v>
      </c>
      <c r="AK18" t="str">
        <f>IF(AG18="!","!",_xlfn.CONCAT("MP,DENS,",Puntoni!AW44,",0"))</f>
        <v>!</v>
      </c>
      <c r="AN18" t="str">
        <f>_xlfn.CONCAT("TYPE,3, $MAT,",Puntoni!BQ66,", $SECNUM,",Puntoni!BP44)</f>
        <v>TYPE,3, $MAT,102, $SECNUM,103</v>
      </c>
      <c r="AR18" s="20" t="str">
        <f>_xlfn.CONCAT("NUMSTR,ELEM",",",Puntoni!BH23)</f>
        <v>NUMSTR,ELEM,19550</v>
      </c>
      <c r="AU18" t="str">
        <f>_xlfn.CONCAT("E,",Puntoni!BV23,",",Puntoni!BW23)</f>
        <v>E,10160,10261</v>
      </c>
      <c r="AW18" s="20" t="str">
        <f>_xlfn.CONCAT("E,",Puntoni!BY23,",",Puntoni!BZ23)</f>
        <v>E,10260,10161</v>
      </c>
      <c r="AZ18" t="str">
        <f>_xlfn.CONCAT("E,",Puntoni!CC23,",",Puntoni!CD23)</f>
        <v>E,10161,20261</v>
      </c>
      <c r="BB18" s="20" t="str">
        <f>_xlfn.CONCAT("E,",Puntoni!CF23,",",Puntoni!CG23)</f>
        <v>E,10261,20161</v>
      </c>
    </row>
    <row r="19" spans="4:56" x14ac:dyDescent="0.25">
      <c r="D19" t="str">
        <f>AG9</f>
        <v>!</v>
      </c>
      <c r="G19" t="str">
        <f>X9</f>
        <v>!</v>
      </c>
      <c r="K19" t="str">
        <f>AW6</f>
        <v>E,10240,10231</v>
      </c>
      <c r="X19" s="20" t="str">
        <f>IF(Puntoni!AX45="","!",_xlfn.CONCAT("SECTYPE,",Puntoni!AW45,",LINK"))</f>
        <v>!</v>
      </c>
      <c r="AA19" s="20" t="str">
        <f>IF(Puntoni!AX45="","!",_xlfn.CONCAT("SECDATA,",Input!$L$33*Puntoni!AX45))</f>
        <v>!</v>
      </c>
      <c r="AD19" t="str">
        <f t="shared" si="0"/>
        <v>!</v>
      </c>
      <c r="AG19" s="20" t="str">
        <f>IF(Puntoni!AV67="","!",_xlfn.CONCAT("MP,EX,",Puntoni!AU67,",",Puntoni!AV67*10^6))</f>
        <v>!</v>
      </c>
      <c r="AI19" t="str">
        <f>IF(AG19="!","!",_xlfn.CONCAT("MP,PRXY,",Puntoni!AW45,",","0.3"))</f>
        <v>!</v>
      </c>
      <c r="AK19" t="str">
        <f>IF(AG19="!","!",_xlfn.CONCAT("MP,DENS,",Puntoni!AW45,",0"))</f>
        <v>!</v>
      </c>
      <c r="AN19" t="str">
        <f>_xlfn.CONCAT("TYPE,3, $MAT,",Puntoni!BQ67,", $SECNUM,",Puntoni!BP45)</f>
        <v>TYPE,3, $MAT,102, $SECNUM,103</v>
      </c>
      <c r="AR19" s="20" t="str">
        <f>_xlfn.CONCAT("NUMSTR,ELEM",",",Puntoni!BH24)</f>
        <v>NUMSTR,ELEM,19610</v>
      </c>
      <c r="AU19" t="str">
        <f>_xlfn.CONCAT("E,",Puntoni!BV24,",",Puntoni!BW24)</f>
        <v>E,10320,10421</v>
      </c>
      <c r="AW19" s="20" t="str">
        <f>_xlfn.CONCAT("E,",Puntoni!BY24,",",Puntoni!BZ24)</f>
        <v>E,10420,10321</v>
      </c>
      <c r="AZ19" t="str">
        <f>_xlfn.CONCAT("E,",Puntoni!CC24,",",Puntoni!CD24)</f>
        <v>E,10321,20421</v>
      </c>
      <c r="BB19" s="20" t="str">
        <f>_xlfn.CONCAT("E,",Puntoni!CF24,",",Puntoni!CG24)</f>
        <v>E,10421,20321</v>
      </c>
    </row>
    <row r="20" spans="4:56" x14ac:dyDescent="0.25">
      <c r="D20" t="str">
        <f>AI9</f>
        <v>!</v>
      </c>
      <c r="G20" t="str">
        <f>AA9</f>
        <v>!</v>
      </c>
      <c r="K20" t="str">
        <f>AZ6</f>
        <v>E,10231,20241</v>
      </c>
      <c r="X20" s="20" t="str">
        <f>IF(Puntoni!AX46="","!",_xlfn.CONCAT("SECTYPE,",Puntoni!AW46,",LINK"))</f>
        <v>!</v>
      </c>
      <c r="AA20" s="20" t="str">
        <f>IF(Puntoni!AX46="","!",_xlfn.CONCAT("SECDATA,",Input!$L$33*Puntoni!AX46))</f>
        <v>!</v>
      </c>
      <c r="AD20" t="str">
        <f t="shared" si="0"/>
        <v>!</v>
      </c>
      <c r="AG20" s="20" t="str">
        <f>IF(Puntoni!AV68="","!",_xlfn.CONCAT("MP,EX,",Puntoni!AU68,",",Puntoni!AV68*10^6))</f>
        <v>!</v>
      </c>
      <c r="AI20" t="str">
        <f>IF(AG20="!","!",_xlfn.CONCAT("MP,PRXY,",Puntoni!AW46,",","0.3"))</f>
        <v>!</v>
      </c>
      <c r="AK20" t="str">
        <f>IF(AG20="!","!",_xlfn.CONCAT("MP,DENS,",Puntoni!AW46,",0"))</f>
        <v>!</v>
      </c>
      <c r="AN20" t="str">
        <f>_xlfn.CONCAT("TYPE,3, $MAT,",Puntoni!BQ68,", $SECNUM,",Puntoni!BP46)</f>
        <v>TYPE,3, $MAT,102, $SECNUM,103</v>
      </c>
      <c r="AR20" s="20" t="str">
        <f>_xlfn.CONCAT("NUMSTR,ELEM",",",Puntoni!BH25)</f>
        <v>NUMSTR,ELEM,19620</v>
      </c>
      <c r="AU20" t="str">
        <f>_xlfn.CONCAT("E,",Puntoni!BV25,",",Puntoni!BW25)</f>
        <v>E,10330,10431</v>
      </c>
      <c r="AW20" s="20" t="str">
        <f>_xlfn.CONCAT("E,",Puntoni!BY25,",",Puntoni!BZ25)</f>
        <v>E,10430,10331</v>
      </c>
      <c r="AZ20" t="str">
        <f>_xlfn.CONCAT("E,",Puntoni!CC25,",",Puntoni!CD25)</f>
        <v>E,10331,20431</v>
      </c>
      <c r="BB20" s="20" t="str">
        <f>_xlfn.CONCAT("E,",Puntoni!CF25,",",Puntoni!CG25)</f>
        <v>E,10431,20331</v>
      </c>
    </row>
    <row r="21" spans="4:56" x14ac:dyDescent="0.25">
      <c r="D21" t="str">
        <f>AK9</f>
        <v>!</v>
      </c>
      <c r="G21" t="str">
        <f>AD9</f>
        <v>!</v>
      </c>
      <c r="K21" t="str">
        <f>BB6</f>
        <v>E,10241,20231</v>
      </c>
      <c r="X21" s="20" t="str">
        <f>IF(Puntoni!AX47="","!",_xlfn.CONCAT("SECTYPE,",Puntoni!AW47,",LINK"))</f>
        <v>!</v>
      </c>
      <c r="AA21" s="20" t="str">
        <f>IF(Puntoni!AX47="","!",_xlfn.CONCAT("SECDATA,",Input!$L$33*Puntoni!AX47))</f>
        <v>!</v>
      </c>
      <c r="AD21" t="str">
        <f t="shared" si="0"/>
        <v>!</v>
      </c>
      <c r="AG21" s="20" t="str">
        <f>IF(Puntoni!AV69="","!",_xlfn.CONCAT("MP,EX,",Puntoni!AU69,",",Puntoni!AV69*10^6))</f>
        <v>!</v>
      </c>
      <c r="AI21" t="str">
        <f>IF(AG21="!","!",_xlfn.CONCAT("MP,PRXY,",Puntoni!AW47,",","0.3"))</f>
        <v>!</v>
      </c>
      <c r="AK21" t="str">
        <f>IF(AG21="!","!",_xlfn.CONCAT("MP,DENS,",Puntoni!AW47,",0"))</f>
        <v>!</v>
      </c>
      <c r="AN21" t="str">
        <f>_xlfn.CONCAT("TYPE,3, $MAT,",Puntoni!BQ69,", $SECNUM,",Puntoni!BP47)</f>
        <v>TYPE,3, $MAT,102, $SECNUM,103</v>
      </c>
      <c r="AR21" s="20" t="str">
        <f>_xlfn.CONCAT("NUMSTR,ELEM",",",Puntoni!BH26)</f>
        <v>NUMSTR,ELEM,19630</v>
      </c>
      <c r="AU21" t="str">
        <f>_xlfn.CONCAT("E,",Puntoni!BV26,",",Puntoni!BW26)</f>
        <v>E,10340,10441</v>
      </c>
      <c r="AW21" s="20" t="str">
        <f>_xlfn.CONCAT("E,",Puntoni!BY26,",",Puntoni!BZ26)</f>
        <v>E,10440,10341</v>
      </c>
      <c r="AZ21" t="str">
        <f>_xlfn.CONCAT("E,",Puntoni!CC26,",",Puntoni!CD26)</f>
        <v>E,10341,20441</v>
      </c>
      <c r="BB21" s="20" t="str">
        <f>_xlfn.CONCAT("E,",Puntoni!CF26,",",Puntoni!CG26)</f>
        <v>E,10441,20341</v>
      </c>
    </row>
    <row r="22" spans="4:56" x14ac:dyDescent="0.25">
      <c r="D22" t="str">
        <f>AG10</f>
        <v>!</v>
      </c>
      <c r="G22" t="str">
        <f>X10</f>
        <v>!</v>
      </c>
      <c r="K22" t="str">
        <f>AN7</f>
        <v>TYPE,3, $MAT,103, $SECNUM,102</v>
      </c>
      <c r="X22" s="20" t="str">
        <f>IF(Puntoni!AX48="","!",_xlfn.CONCAT("SECTYPE,",Puntoni!AW48,",LINK"))</f>
        <v>!</v>
      </c>
      <c r="AA22" s="20" t="str">
        <f>IF(Puntoni!AX48="","!",_xlfn.CONCAT("SECDATA,",Input!$L$33*Puntoni!AX48))</f>
        <v>!</v>
      </c>
      <c r="AD22" t="str">
        <f t="shared" si="0"/>
        <v>!</v>
      </c>
      <c r="AG22" s="20" t="str">
        <f>IF(Puntoni!AV70="","!",_xlfn.CONCAT("MP,EX,",Puntoni!AU70,",",Puntoni!AV70*10^6))</f>
        <v>!</v>
      </c>
      <c r="AI22" t="str">
        <f>IF(AG22="!","!",_xlfn.CONCAT("MP,PRXY,",Puntoni!AW48,",","0.3"))</f>
        <v>!</v>
      </c>
      <c r="AK22" t="str">
        <f>IF(AG22="!","!",_xlfn.CONCAT("MP,DENS,",Puntoni!AW48,",0"))</f>
        <v>!</v>
      </c>
      <c r="AN22" t="str">
        <f>_xlfn.CONCAT("TYPE,3, $MAT,",Puntoni!BQ70,", $SECNUM,",Puntoni!BP48)</f>
        <v>TYPE,3, $MAT,102, $SECNUM,103</v>
      </c>
      <c r="AR22" s="20" t="str">
        <f>_xlfn.CONCAT("NUMSTR,ELEM",",",Puntoni!BH27)</f>
        <v>NUMSTR,ELEM,19640</v>
      </c>
      <c r="AU22" t="str">
        <f>_xlfn.CONCAT("E,",Puntoni!BV27,",",Puntoni!BW27)</f>
        <v>E,10350,10451</v>
      </c>
      <c r="AW22" s="20" t="str">
        <f>_xlfn.CONCAT("E,",Puntoni!BY27,",",Puntoni!BZ27)</f>
        <v>E,10450,10351</v>
      </c>
      <c r="AZ22" t="str">
        <f>_xlfn.CONCAT("E,",Puntoni!CC27,",",Puntoni!CD27)</f>
        <v>E,10351,20451</v>
      </c>
      <c r="BB22" s="20" t="str">
        <f>_xlfn.CONCAT("E,",Puntoni!CF27,",",Puntoni!CG27)</f>
        <v>E,10451,20351</v>
      </c>
    </row>
    <row r="23" spans="4:56" x14ac:dyDescent="0.25">
      <c r="D23" t="str">
        <f>AI10</f>
        <v>!</v>
      </c>
      <c r="G23" t="str">
        <f>AA10</f>
        <v>!</v>
      </c>
      <c r="K23" t="str">
        <f>AR7</f>
        <v>NUMSTR,ELEM,19240</v>
      </c>
      <c r="X23" s="20" t="str">
        <f>IF(Puntoni!AX49="","!",_xlfn.CONCAT("SECTYPE,",Puntoni!AW49,",LINK"))</f>
        <v>!</v>
      </c>
      <c r="AA23" s="20" t="str">
        <f>IF(Puntoni!AX49="","!",_xlfn.CONCAT("SECDATA,",Input!$L$33*Puntoni!AX49))</f>
        <v>!</v>
      </c>
      <c r="AD23" t="str">
        <f t="shared" si="0"/>
        <v>!</v>
      </c>
      <c r="AG23" s="20" t="str">
        <f>IF(Puntoni!AV71="","!",_xlfn.CONCAT("MP,EX,",Puntoni!AU71,",",Puntoni!AV71*10^6))</f>
        <v>!</v>
      </c>
      <c r="AI23" t="str">
        <f>IF(AG23="!","!",_xlfn.CONCAT("MP,PRXY,",Puntoni!AW49,",","0.3"))</f>
        <v>!</v>
      </c>
      <c r="AK23" t="str">
        <f>IF(AG23="!","!",_xlfn.CONCAT("MP,DENS,",Puntoni!AW49,",0"))</f>
        <v>!</v>
      </c>
      <c r="AN23" t="str">
        <f>_xlfn.CONCAT("TYPE,3, $MAT,",Puntoni!BQ71,", $SECNUM,",Puntoni!BP49)</f>
        <v>TYPE,3, $MAT,102, $SECNUM,103</v>
      </c>
      <c r="AR23" s="20" t="str">
        <f>_xlfn.CONCAT("NUMSTR,ELEM",",",Puntoni!BH28)</f>
        <v>NUMSTR,ELEM,19650</v>
      </c>
      <c r="AU23" t="str">
        <f>_xlfn.CONCAT("E,",Puntoni!BV28,",",Puntoni!BW28)</f>
        <v>E,10360,10461</v>
      </c>
      <c r="AW23" s="20" t="str">
        <f>_xlfn.CONCAT("E,",Puntoni!BY28,",",Puntoni!BZ28)</f>
        <v>E,10460,10361</v>
      </c>
      <c r="AZ23" t="str">
        <f>_xlfn.CONCAT("E,",Puntoni!CC28,",",Puntoni!CD28)</f>
        <v>E,10361,20461</v>
      </c>
      <c r="BB23" s="20" t="str">
        <f>_xlfn.CONCAT("E,",Puntoni!CF28,",",Puntoni!CG28)</f>
        <v>E,10461,20361</v>
      </c>
    </row>
    <row r="24" spans="4:56" x14ac:dyDescent="0.25">
      <c r="D24" t="str">
        <f>AK10</f>
        <v>!</v>
      </c>
      <c r="G24" t="str">
        <f>AD10</f>
        <v>!</v>
      </c>
      <c r="K24" t="str">
        <f>AU7</f>
        <v>E,10240,10251</v>
      </c>
    </row>
    <row r="25" spans="4:56" x14ac:dyDescent="0.25">
      <c r="D25" t="str">
        <f>AG11</f>
        <v>!</v>
      </c>
      <c r="G25" t="str">
        <f>X11</f>
        <v>!</v>
      </c>
      <c r="K25" t="str">
        <f>AW7</f>
        <v>E,10250,10241</v>
      </c>
    </row>
    <row r="26" spans="4:56" x14ac:dyDescent="0.25">
      <c r="D26" t="str">
        <f>AI11</f>
        <v>!</v>
      </c>
      <c r="G26" t="str">
        <f>AA11</f>
        <v>!</v>
      </c>
      <c r="K26" t="str">
        <f>AZ7</f>
        <v>E,10241,20251</v>
      </c>
    </row>
    <row r="27" spans="4:56" x14ac:dyDescent="0.25">
      <c r="D27" t="str">
        <f>AK11</f>
        <v>!</v>
      </c>
      <c r="G27" t="str">
        <f>AD11</f>
        <v>!</v>
      </c>
      <c r="K27" t="str">
        <f>BB7</f>
        <v>E,10251,20241</v>
      </c>
    </row>
    <row r="28" spans="4:56" x14ac:dyDescent="0.25">
      <c r="D28" t="str">
        <f>AG12</f>
        <v>!</v>
      </c>
      <c r="G28" t="str">
        <f>X12</f>
        <v>!</v>
      </c>
      <c r="K28" t="str">
        <f>AN8</f>
        <v>TYPE,3, $MAT,103, $SECNUM,102</v>
      </c>
    </row>
    <row r="29" spans="4:56" x14ac:dyDescent="0.25">
      <c r="D29" t="str">
        <f>AI12</f>
        <v>!</v>
      </c>
      <c r="G29" t="str">
        <f>AA12</f>
        <v>!</v>
      </c>
      <c r="K29" t="str">
        <f>AR8</f>
        <v>NUMSTR,ELEM,19250</v>
      </c>
    </row>
    <row r="30" spans="4:56" x14ac:dyDescent="0.25">
      <c r="D30" t="str">
        <f>AK12</f>
        <v>!</v>
      </c>
      <c r="G30" t="str">
        <f>AD12</f>
        <v>!</v>
      </c>
      <c r="K30" t="str">
        <f>AU8</f>
        <v>E,10250,10261</v>
      </c>
    </row>
    <row r="31" spans="4:56" x14ac:dyDescent="0.25">
      <c r="D31" t="str">
        <f>AG13</f>
        <v>!</v>
      </c>
      <c r="G31" t="str">
        <f>X13</f>
        <v>!</v>
      </c>
      <c r="K31" t="str">
        <f>AW8</f>
        <v>E,10260,10251</v>
      </c>
      <c r="AR31" s="20"/>
      <c r="AS31" s="20"/>
      <c r="AU31" s="20"/>
      <c r="AV31" s="20"/>
      <c r="AW31" s="20"/>
      <c r="AX31" s="20"/>
      <c r="AY31" s="20"/>
      <c r="AZ31" s="20"/>
      <c r="BB31" s="20"/>
      <c r="BC31" s="20"/>
      <c r="BD31" s="20"/>
    </row>
    <row r="32" spans="4:56" x14ac:dyDescent="0.25">
      <c r="D32" t="str">
        <f>AI13</f>
        <v>!</v>
      </c>
      <c r="G32" t="str">
        <f>AA13</f>
        <v>!</v>
      </c>
      <c r="K32" t="str">
        <f>AZ8</f>
        <v>E,10251,20261</v>
      </c>
    </row>
    <row r="33" spans="4:11" x14ac:dyDescent="0.25">
      <c r="D33" t="str">
        <f>AK13</f>
        <v>!</v>
      </c>
      <c r="G33" t="str">
        <f>AD13</f>
        <v>!</v>
      </c>
      <c r="K33" t="str">
        <f>BB8</f>
        <v>E,10261,20251</v>
      </c>
    </row>
    <row r="34" spans="4:11" x14ac:dyDescent="0.25">
      <c r="D34" t="str">
        <f>AG14</f>
        <v>!</v>
      </c>
      <c r="G34" t="str">
        <f>X14</f>
        <v>!</v>
      </c>
      <c r="K34" t="str">
        <f>AN9</f>
        <v>TYPE,3, $MAT,101, $SECNUM,101</v>
      </c>
    </row>
    <row r="35" spans="4:11" x14ac:dyDescent="0.25">
      <c r="D35" t="str">
        <f>AI14</f>
        <v>!</v>
      </c>
      <c r="G35" t="str">
        <f>AA14</f>
        <v>!</v>
      </c>
      <c r="K35" t="str">
        <f>AR9</f>
        <v>NUMSTR,ELEM,19310</v>
      </c>
    </row>
    <row r="36" spans="4:11" x14ac:dyDescent="0.25">
      <c r="D36" t="str">
        <f>AK14</f>
        <v>!</v>
      </c>
      <c r="G36" t="str">
        <f>AD14</f>
        <v>!</v>
      </c>
      <c r="K36" t="str">
        <f>AU9</f>
        <v>E,10310,10321</v>
      </c>
    </row>
    <row r="37" spans="4:11" x14ac:dyDescent="0.25">
      <c r="D37" t="str">
        <f>AG15</f>
        <v>!</v>
      </c>
      <c r="G37" t="str">
        <f>X15</f>
        <v>!</v>
      </c>
      <c r="K37" t="str">
        <f>AW9</f>
        <v>E,10320,12314</v>
      </c>
    </row>
    <row r="38" spans="4:11" x14ac:dyDescent="0.25">
      <c r="D38" t="str">
        <f>AI15</f>
        <v>!</v>
      </c>
      <c r="G38" t="str">
        <f>AA15</f>
        <v>!</v>
      </c>
      <c r="K38" t="str">
        <f>AZ9</f>
        <v>E,12314,20321</v>
      </c>
    </row>
    <row r="39" spans="4:11" x14ac:dyDescent="0.25">
      <c r="D39" t="str">
        <f>AK15</f>
        <v>!</v>
      </c>
      <c r="G39" t="str">
        <f>AD15</f>
        <v>!</v>
      </c>
      <c r="K39" t="str">
        <f>BB9</f>
        <v>E,10321,22314</v>
      </c>
    </row>
    <row r="40" spans="4:11" x14ac:dyDescent="0.25">
      <c r="D40" t="str">
        <f>AG16</f>
        <v>!</v>
      </c>
      <c r="G40" t="str">
        <f>X16</f>
        <v>!</v>
      </c>
      <c r="K40" t="str">
        <f>AN10</f>
        <v>TYPE,3, $MAT,103, $SECNUM,102</v>
      </c>
    </row>
    <row r="41" spans="4:11" x14ac:dyDescent="0.25">
      <c r="D41" t="str">
        <f>AI16</f>
        <v>!</v>
      </c>
      <c r="G41" t="str">
        <f>AA16</f>
        <v>!</v>
      </c>
      <c r="K41" t="str">
        <f>AR10</f>
        <v>NUMSTR,ELEM,19320</v>
      </c>
    </row>
    <row r="42" spans="4:11" x14ac:dyDescent="0.25">
      <c r="D42" t="str">
        <f>AK16</f>
        <v>!</v>
      </c>
      <c r="G42" t="str">
        <f>AD16</f>
        <v>!</v>
      </c>
      <c r="K42" t="str">
        <f>AU10</f>
        <v>E,10320,10331</v>
      </c>
    </row>
    <row r="43" spans="4:11" x14ac:dyDescent="0.25">
      <c r="D43" t="str">
        <f>AG17</f>
        <v>!</v>
      </c>
      <c r="G43" t="str">
        <f>X17</f>
        <v>!</v>
      </c>
      <c r="K43" t="str">
        <f>AW10</f>
        <v>E,10330,10321</v>
      </c>
    </row>
    <row r="44" spans="4:11" x14ac:dyDescent="0.25">
      <c r="D44" t="str">
        <f>AI17</f>
        <v>!</v>
      </c>
      <c r="G44" t="str">
        <f>AA17</f>
        <v>!</v>
      </c>
      <c r="K44" t="str">
        <f>AZ10</f>
        <v>E,10321,20331</v>
      </c>
    </row>
    <row r="45" spans="4:11" x14ac:dyDescent="0.25">
      <c r="D45" t="str">
        <f>AK17</f>
        <v>!</v>
      </c>
      <c r="G45" t="str">
        <f>AD17</f>
        <v>!</v>
      </c>
      <c r="K45" t="str">
        <f>BB10</f>
        <v>E,10331,20321</v>
      </c>
    </row>
    <row r="46" spans="4:11" x14ac:dyDescent="0.25">
      <c r="D46" t="str">
        <f>AG18</f>
        <v>!</v>
      </c>
      <c r="G46" t="str">
        <f>X18</f>
        <v>!</v>
      </c>
      <c r="K46" t="str">
        <f>AN11</f>
        <v>TYPE,3, $MAT,103, $SECNUM,102</v>
      </c>
    </row>
    <row r="47" spans="4:11" x14ac:dyDescent="0.25">
      <c r="D47" t="str">
        <f>AI18</f>
        <v>!</v>
      </c>
      <c r="G47" t="str">
        <f>AA18</f>
        <v>!</v>
      </c>
      <c r="K47" t="str">
        <f>AR11</f>
        <v>NUMSTR,ELEM,19330</v>
      </c>
    </row>
    <row r="48" spans="4:11" x14ac:dyDescent="0.25">
      <c r="D48" t="str">
        <f>AK18</f>
        <v>!</v>
      </c>
      <c r="G48" t="str">
        <f>AD18</f>
        <v>!</v>
      </c>
      <c r="K48" t="str">
        <f>AU11</f>
        <v>E,10330,10341</v>
      </c>
    </row>
    <row r="49" spans="4:11" x14ac:dyDescent="0.25">
      <c r="D49" t="str">
        <f>AG19</f>
        <v>!</v>
      </c>
      <c r="G49" t="str">
        <f>X19</f>
        <v>!</v>
      </c>
      <c r="K49" t="str">
        <f>AW11</f>
        <v>E,10340,10331</v>
      </c>
    </row>
    <row r="50" spans="4:11" x14ac:dyDescent="0.25">
      <c r="D50" t="str">
        <f>AI19</f>
        <v>!</v>
      </c>
      <c r="G50" t="str">
        <f>AA19</f>
        <v>!</v>
      </c>
      <c r="K50" t="str">
        <f>AZ11</f>
        <v>E,10331,20341</v>
      </c>
    </row>
    <row r="51" spans="4:11" x14ac:dyDescent="0.25">
      <c r="D51" t="str">
        <f>AK19</f>
        <v>!</v>
      </c>
      <c r="G51" t="str">
        <f>AD19</f>
        <v>!</v>
      </c>
      <c r="K51" t="str">
        <f>BB11</f>
        <v>E,10341,20331</v>
      </c>
    </row>
    <row r="52" spans="4:11" x14ac:dyDescent="0.25">
      <c r="D52" t="str">
        <f>AG20</f>
        <v>!</v>
      </c>
      <c r="G52" t="str">
        <f>X20</f>
        <v>!</v>
      </c>
      <c r="K52" t="str">
        <f>AN12</f>
        <v>TYPE,3, $MAT,103, $SECNUM,102</v>
      </c>
    </row>
    <row r="53" spans="4:11" x14ac:dyDescent="0.25">
      <c r="D53" t="str">
        <f>AI20</f>
        <v>!</v>
      </c>
      <c r="G53" t="str">
        <f>AA20</f>
        <v>!</v>
      </c>
      <c r="K53" t="str">
        <f>AR12</f>
        <v>NUMSTR,ELEM,19340</v>
      </c>
    </row>
    <row r="54" spans="4:11" x14ac:dyDescent="0.25">
      <c r="D54" t="str">
        <f>AK20</f>
        <v>!</v>
      </c>
      <c r="G54" t="str">
        <f>AD20</f>
        <v>!</v>
      </c>
      <c r="K54" t="str">
        <f>AU12</f>
        <v>E,10340,10351</v>
      </c>
    </row>
    <row r="55" spans="4:11" x14ac:dyDescent="0.25">
      <c r="D55" t="str">
        <f>AG21</f>
        <v>!</v>
      </c>
      <c r="G55" t="str">
        <f>X21</f>
        <v>!</v>
      </c>
      <c r="K55" t="str">
        <f>AW12</f>
        <v>E,10350,10341</v>
      </c>
    </row>
    <row r="56" spans="4:11" x14ac:dyDescent="0.25">
      <c r="D56" t="str">
        <f>AI21</f>
        <v>!</v>
      </c>
      <c r="G56" t="str">
        <f>AA21</f>
        <v>!</v>
      </c>
      <c r="K56" t="str">
        <f>AZ12</f>
        <v>E,10341,20351</v>
      </c>
    </row>
    <row r="57" spans="4:11" x14ac:dyDescent="0.25">
      <c r="D57" t="str">
        <f>AK21</f>
        <v>!</v>
      </c>
      <c r="G57" t="str">
        <f>AD21</f>
        <v>!</v>
      </c>
      <c r="K57" t="str">
        <f>BB12</f>
        <v>E,10351,20341</v>
      </c>
    </row>
    <row r="58" spans="4:11" x14ac:dyDescent="0.25">
      <c r="D58" t="str">
        <f>AG22</f>
        <v>!</v>
      </c>
      <c r="G58" t="str">
        <f>X22</f>
        <v>!</v>
      </c>
      <c r="K58" t="str">
        <f>AN13</f>
        <v>TYPE,3, $MAT,103, $SECNUM,102</v>
      </c>
    </row>
    <row r="59" spans="4:11" x14ac:dyDescent="0.25">
      <c r="D59" t="str">
        <f>AI22</f>
        <v>!</v>
      </c>
      <c r="G59" t="str">
        <f>AA22</f>
        <v>!</v>
      </c>
      <c r="K59" t="str">
        <f>AR13</f>
        <v>NUMSTR,ELEM,19350</v>
      </c>
    </row>
    <row r="60" spans="4:11" x14ac:dyDescent="0.25">
      <c r="D60" t="str">
        <f>AK22</f>
        <v>!</v>
      </c>
      <c r="G60" t="str">
        <f>AD22</f>
        <v>!</v>
      </c>
      <c r="K60" t="str">
        <f>AU13</f>
        <v>E,10350,10361</v>
      </c>
    </row>
    <row r="61" spans="4:11" x14ac:dyDescent="0.25">
      <c r="D61" t="str">
        <f>AG23</f>
        <v>!</v>
      </c>
      <c r="G61" t="str">
        <f>X23</f>
        <v>!</v>
      </c>
      <c r="K61" t="str">
        <f>AW13</f>
        <v>E,10360,10351</v>
      </c>
    </row>
    <row r="62" spans="4:11" x14ac:dyDescent="0.25">
      <c r="D62" t="str">
        <f>AI23</f>
        <v>!</v>
      </c>
      <c r="G62" t="str">
        <f>AA23</f>
        <v>!</v>
      </c>
      <c r="K62" t="str">
        <f>AZ13</f>
        <v>E,10351,20361</v>
      </c>
    </row>
    <row r="63" spans="4:11" x14ac:dyDescent="0.25">
      <c r="D63" t="str">
        <f>AK23</f>
        <v>!</v>
      </c>
      <c r="G63" t="str">
        <f>AD23</f>
        <v>!</v>
      </c>
      <c r="K63" t="str">
        <f>BB13</f>
        <v>E,10361,20351</v>
      </c>
    </row>
    <row r="64" spans="4:11" x14ac:dyDescent="0.25">
      <c r="K64" t="str">
        <f>AN14</f>
        <v>TYPE,3, $MAT,102, $SECNUM,103</v>
      </c>
    </row>
    <row r="65" spans="11:11" x14ac:dyDescent="0.25">
      <c r="K65" t="str">
        <f>AR14</f>
        <v>NUMSTR,ELEM,19510</v>
      </c>
    </row>
    <row r="66" spans="11:11" x14ac:dyDescent="0.25">
      <c r="K66" t="str">
        <f>AU14</f>
        <v>E,10120,10221</v>
      </c>
    </row>
    <row r="67" spans="11:11" x14ac:dyDescent="0.25">
      <c r="K67" t="str">
        <f>AW14</f>
        <v>E,10220,10121</v>
      </c>
    </row>
    <row r="68" spans="11:11" x14ac:dyDescent="0.25">
      <c r="K68" t="str">
        <f>AZ14</f>
        <v>E,10121,20221</v>
      </c>
    </row>
    <row r="69" spans="11:11" x14ac:dyDescent="0.25">
      <c r="K69" t="str">
        <f>BB14</f>
        <v>E,10221,20121</v>
      </c>
    </row>
    <row r="70" spans="11:11" x14ac:dyDescent="0.25">
      <c r="K70" t="str">
        <f>AN15</f>
        <v>TYPE,3, $MAT,102, $SECNUM,103</v>
      </c>
    </row>
    <row r="71" spans="11:11" x14ac:dyDescent="0.25">
      <c r="K71" t="str">
        <f>AR15</f>
        <v>NUMSTR,ELEM,19520</v>
      </c>
    </row>
    <row r="72" spans="11:11" x14ac:dyDescent="0.25">
      <c r="K72" t="str">
        <f>AU15</f>
        <v>E,10130,10231</v>
      </c>
    </row>
    <row r="73" spans="11:11" x14ac:dyDescent="0.25">
      <c r="K73" t="str">
        <f>AW15</f>
        <v>E,10230,10131</v>
      </c>
    </row>
    <row r="74" spans="11:11" x14ac:dyDescent="0.25">
      <c r="K74" t="str">
        <f>AZ15</f>
        <v>E,10131,20231</v>
      </c>
    </row>
    <row r="75" spans="11:11" x14ac:dyDescent="0.25">
      <c r="K75" t="str">
        <f>BB15</f>
        <v>E,10231,20131</v>
      </c>
    </row>
    <row r="76" spans="11:11" x14ac:dyDescent="0.25">
      <c r="K76" t="str">
        <f>AN16</f>
        <v>TYPE,3, $MAT,102, $SECNUM,103</v>
      </c>
    </row>
    <row r="77" spans="11:11" x14ac:dyDescent="0.25">
      <c r="K77" t="str">
        <f>AR16</f>
        <v>NUMSTR,ELEM,19530</v>
      </c>
    </row>
    <row r="78" spans="11:11" x14ac:dyDescent="0.25">
      <c r="K78" t="str">
        <f>AU16</f>
        <v>E,10140,10241</v>
      </c>
    </row>
    <row r="79" spans="11:11" x14ac:dyDescent="0.25">
      <c r="K79" t="str">
        <f>AW16</f>
        <v>E,10240,10141</v>
      </c>
    </row>
    <row r="80" spans="11:11" x14ac:dyDescent="0.25">
      <c r="K80" t="str">
        <f>AZ16</f>
        <v>E,10141,20241</v>
      </c>
    </row>
    <row r="81" spans="11:11" x14ac:dyDescent="0.25">
      <c r="K81" t="str">
        <f>BB16</f>
        <v>E,10241,20141</v>
      </c>
    </row>
    <row r="82" spans="11:11" x14ac:dyDescent="0.25">
      <c r="K82" t="str">
        <f>AN17</f>
        <v>TYPE,3, $MAT,102, $SECNUM,103</v>
      </c>
    </row>
    <row r="83" spans="11:11" x14ac:dyDescent="0.25">
      <c r="K83" t="str">
        <f>AR17</f>
        <v>NUMSTR,ELEM,19540</v>
      </c>
    </row>
    <row r="84" spans="11:11" x14ac:dyDescent="0.25">
      <c r="K84" t="str">
        <f>AU17</f>
        <v>E,10150,10251</v>
      </c>
    </row>
    <row r="85" spans="11:11" x14ac:dyDescent="0.25">
      <c r="K85" t="str">
        <f>AW17</f>
        <v>E,10250,10151</v>
      </c>
    </row>
    <row r="86" spans="11:11" x14ac:dyDescent="0.25">
      <c r="K86" t="str">
        <f>AZ17</f>
        <v>E,10151,20251</v>
      </c>
    </row>
    <row r="87" spans="11:11" x14ac:dyDescent="0.25">
      <c r="K87" t="str">
        <f>BB17</f>
        <v>E,10251,20151</v>
      </c>
    </row>
    <row r="88" spans="11:11" x14ac:dyDescent="0.25">
      <c r="K88" t="str">
        <f>AN18</f>
        <v>TYPE,3, $MAT,102, $SECNUM,103</v>
      </c>
    </row>
    <row r="89" spans="11:11" x14ac:dyDescent="0.25">
      <c r="K89" t="str">
        <f>AR18</f>
        <v>NUMSTR,ELEM,19550</v>
      </c>
    </row>
    <row r="90" spans="11:11" x14ac:dyDescent="0.25">
      <c r="K90" t="str">
        <f>AU18</f>
        <v>E,10160,10261</v>
      </c>
    </row>
    <row r="91" spans="11:11" x14ac:dyDescent="0.25">
      <c r="K91" t="str">
        <f>AW18</f>
        <v>E,10260,10161</v>
      </c>
    </row>
    <row r="92" spans="11:11" x14ac:dyDescent="0.25">
      <c r="K92" t="str">
        <f>AZ18</f>
        <v>E,10161,20261</v>
      </c>
    </row>
    <row r="93" spans="11:11" x14ac:dyDescent="0.25">
      <c r="K93" t="str">
        <f>BB18</f>
        <v>E,10261,20161</v>
      </c>
    </row>
    <row r="94" spans="11:11" x14ac:dyDescent="0.25">
      <c r="K94" t="str">
        <f>AN19</f>
        <v>TYPE,3, $MAT,102, $SECNUM,103</v>
      </c>
    </row>
    <row r="95" spans="11:11" x14ac:dyDescent="0.25">
      <c r="K95" t="str">
        <f>AR19</f>
        <v>NUMSTR,ELEM,19610</v>
      </c>
    </row>
    <row r="96" spans="11:11" x14ac:dyDescent="0.25">
      <c r="K96" t="str">
        <f>AU19</f>
        <v>E,10320,10421</v>
      </c>
    </row>
    <row r="97" spans="11:11" x14ac:dyDescent="0.25">
      <c r="K97" t="str">
        <f>AW19</f>
        <v>E,10420,10321</v>
      </c>
    </row>
    <row r="98" spans="11:11" x14ac:dyDescent="0.25">
      <c r="K98" t="str">
        <f>AZ19</f>
        <v>E,10321,20421</v>
      </c>
    </row>
    <row r="99" spans="11:11" x14ac:dyDescent="0.25">
      <c r="K99" t="str">
        <f>BB19</f>
        <v>E,10421,20321</v>
      </c>
    </row>
    <row r="100" spans="11:11" x14ac:dyDescent="0.25">
      <c r="K100" t="str">
        <f>AN20</f>
        <v>TYPE,3, $MAT,102, $SECNUM,103</v>
      </c>
    </row>
    <row r="101" spans="11:11" x14ac:dyDescent="0.25">
      <c r="K101" t="str">
        <f>AR20</f>
        <v>NUMSTR,ELEM,19620</v>
      </c>
    </row>
    <row r="102" spans="11:11" x14ac:dyDescent="0.25">
      <c r="K102" t="str">
        <f>AU20</f>
        <v>E,10330,10431</v>
      </c>
    </row>
    <row r="103" spans="11:11" x14ac:dyDescent="0.25">
      <c r="K103" t="str">
        <f>AW20</f>
        <v>E,10430,10331</v>
      </c>
    </row>
    <row r="104" spans="11:11" x14ac:dyDescent="0.25">
      <c r="K104" t="str">
        <f>AZ20</f>
        <v>E,10331,20431</v>
      </c>
    </row>
    <row r="105" spans="11:11" x14ac:dyDescent="0.25">
      <c r="K105" t="str">
        <f>BB20</f>
        <v>E,10431,20331</v>
      </c>
    </row>
    <row r="106" spans="11:11" x14ac:dyDescent="0.25">
      <c r="K106" t="str">
        <f>AN21</f>
        <v>TYPE,3, $MAT,102, $SECNUM,103</v>
      </c>
    </row>
    <row r="107" spans="11:11" x14ac:dyDescent="0.25">
      <c r="K107" t="str">
        <f>AR21</f>
        <v>NUMSTR,ELEM,19630</v>
      </c>
    </row>
    <row r="108" spans="11:11" x14ac:dyDescent="0.25">
      <c r="K108" t="str">
        <f>AU21</f>
        <v>E,10340,10441</v>
      </c>
    </row>
    <row r="109" spans="11:11" x14ac:dyDescent="0.25">
      <c r="K109" t="str">
        <f>AW21</f>
        <v>E,10440,10341</v>
      </c>
    </row>
    <row r="110" spans="11:11" x14ac:dyDescent="0.25">
      <c r="K110" t="str">
        <f>AZ21</f>
        <v>E,10341,20441</v>
      </c>
    </row>
    <row r="111" spans="11:11" x14ac:dyDescent="0.25">
      <c r="K111" t="str">
        <f>BB21</f>
        <v>E,10441,20341</v>
      </c>
    </row>
    <row r="112" spans="11:11" x14ac:dyDescent="0.25">
      <c r="K112" t="str">
        <f>AN22</f>
        <v>TYPE,3, $MAT,102, $SECNUM,103</v>
      </c>
    </row>
    <row r="113" spans="11:11" x14ac:dyDescent="0.25">
      <c r="K113" t="str">
        <f>AR22</f>
        <v>NUMSTR,ELEM,19640</v>
      </c>
    </row>
    <row r="114" spans="11:11" x14ac:dyDescent="0.25">
      <c r="K114" t="str">
        <f>AU22</f>
        <v>E,10350,10451</v>
      </c>
    </row>
    <row r="115" spans="11:11" x14ac:dyDescent="0.25">
      <c r="K115" t="str">
        <f>AW22</f>
        <v>E,10450,10351</v>
      </c>
    </row>
    <row r="116" spans="11:11" x14ac:dyDescent="0.25">
      <c r="K116" t="str">
        <f>AZ22</f>
        <v>E,10351,20451</v>
      </c>
    </row>
    <row r="117" spans="11:11" x14ac:dyDescent="0.25">
      <c r="K117" t="str">
        <f>BB22</f>
        <v>E,10451,20351</v>
      </c>
    </row>
    <row r="118" spans="11:11" x14ac:dyDescent="0.25">
      <c r="K118" t="str">
        <f>AN23</f>
        <v>TYPE,3, $MAT,102, $SECNUM,103</v>
      </c>
    </row>
    <row r="119" spans="11:11" x14ac:dyDescent="0.25">
      <c r="K119" t="str">
        <f>AR23</f>
        <v>NUMSTR,ELEM,19650</v>
      </c>
    </row>
    <row r="120" spans="11:11" x14ac:dyDescent="0.25">
      <c r="K120" t="str">
        <f>AU23</f>
        <v>E,10360,10461</v>
      </c>
    </row>
    <row r="121" spans="11:11" x14ac:dyDescent="0.25">
      <c r="K121" t="str">
        <f>AW23</f>
        <v>E,10460,10361</v>
      </c>
    </row>
    <row r="122" spans="11:11" x14ac:dyDescent="0.25">
      <c r="K122" t="str">
        <f>AZ23</f>
        <v>E,10361,20461</v>
      </c>
    </row>
    <row r="123" spans="11:11" x14ac:dyDescent="0.25">
      <c r="K123" t="str">
        <f>BB23</f>
        <v>E,10461,20361</v>
      </c>
    </row>
  </sheetData>
  <mergeCells count="2">
    <mergeCell ref="AU1:AX1"/>
    <mergeCell ref="AZ1:BC1"/>
  </mergeCells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59</vt:i4>
      </vt:variant>
    </vt:vector>
  </HeadingPairs>
  <TitlesOfParts>
    <vt:vector size="62" baseType="lpstr">
      <vt:lpstr>Input</vt:lpstr>
      <vt:lpstr>Puntoni</vt:lpstr>
      <vt:lpstr>Output</vt:lpstr>
      <vt:lpstr>A_11x</vt:lpstr>
      <vt:lpstr>A_11y</vt:lpstr>
      <vt:lpstr>A_12x</vt:lpstr>
      <vt:lpstr>A_12y</vt:lpstr>
      <vt:lpstr>A_13x</vt:lpstr>
      <vt:lpstr>A_13y</vt:lpstr>
      <vt:lpstr>A_14x</vt:lpstr>
      <vt:lpstr>A_14y</vt:lpstr>
      <vt:lpstr>A_15x</vt:lpstr>
      <vt:lpstr>A_15y</vt:lpstr>
      <vt:lpstr>A_16x</vt:lpstr>
      <vt:lpstr>A_21x</vt:lpstr>
      <vt:lpstr>A_21y</vt:lpstr>
      <vt:lpstr>A_22x</vt:lpstr>
      <vt:lpstr>A_22y</vt:lpstr>
      <vt:lpstr>A_23x</vt:lpstr>
      <vt:lpstr>A_23y</vt:lpstr>
      <vt:lpstr>A_24x</vt:lpstr>
      <vt:lpstr>A_24y</vt:lpstr>
      <vt:lpstr>A_25x</vt:lpstr>
      <vt:lpstr>A_25y</vt:lpstr>
      <vt:lpstr>A_26x</vt:lpstr>
      <vt:lpstr>A_26y</vt:lpstr>
      <vt:lpstr>A_31x</vt:lpstr>
      <vt:lpstr>A_31y</vt:lpstr>
      <vt:lpstr>A_32x</vt:lpstr>
      <vt:lpstr>A_32y</vt:lpstr>
      <vt:lpstr>A_33x</vt:lpstr>
      <vt:lpstr>A_33y</vt:lpstr>
      <vt:lpstr>A_34x</vt:lpstr>
      <vt:lpstr>A_34y</vt:lpstr>
      <vt:lpstr>A_35x</vt:lpstr>
      <vt:lpstr>A_35y</vt:lpstr>
      <vt:lpstr>A_36x</vt:lpstr>
      <vt:lpstr>A_36y</vt:lpstr>
      <vt:lpstr>A_41x</vt:lpstr>
      <vt:lpstr>A_42x</vt:lpstr>
      <vt:lpstr>A_43x</vt:lpstr>
      <vt:lpstr>A_44x</vt:lpstr>
      <vt:lpstr>A_45x</vt:lpstr>
      <vt:lpstr>A_46x</vt:lpstr>
      <vt:lpstr>alpha</vt:lpstr>
      <vt:lpstr>beta</vt:lpstr>
      <vt:lpstr>E_c</vt:lpstr>
      <vt:lpstr>E_m</vt:lpstr>
      <vt:lpstr>f_b</vt:lpstr>
      <vt:lpstr>f_k</vt:lpstr>
      <vt:lpstr>f_m</vt:lpstr>
      <vt:lpstr>interpiano</vt:lpstr>
      <vt:lpstr>K</vt:lpstr>
      <vt:lpstr>K_e</vt:lpstr>
      <vt:lpstr>L_1x</vt:lpstr>
      <vt:lpstr>L_1y</vt:lpstr>
      <vt:lpstr>L_2x</vt:lpstr>
      <vt:lpstr>L_2y</vt:lpstr>
      <vt:lpstr>L_3x</vt:lpstr>
      <vt:lpstr>L_3y</vt:lpstr>
      <vt:lpstr>L_4x</vt:lpstr>
      <vt:lpstr>L_5x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Sberna</dc:creator>
  <cp:lastModifiedBy>Antonio Sberna</cp:lastModifiedBy>
  <cp:lastPrinted>2019-06-04T10:21:46Z</cp:lastPrinted>
  <dcterms:created xsi:type="dcterms:W3CDTF">2019-06-04T09:54:25Z</dcterms:created>
  <dcterms:modified xsi:type="dcterms:W3CDTF">2019-06-23T18:27:42Z</dcterms:modified>
</cp:coreProperties>
</file>